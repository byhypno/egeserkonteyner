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illik_Rapor" sheetId="1" state="visible" r:id="rId1"/>
    <sheet name="Aylik_Rapor" sheetId="2" state="visible" r:id="rId2"/>
    <sheet name="Personel_Listesi" sheetId="3" state="visible" r:id="rId3"/>
    <sheet name="Kodlar_Tatiller" sheetId="4" state="visible" r:id="rId4"/>
    <sheet name="Ocak" sheetId="5" state="visible" r:id="rId5"/>
    <sheet name="Şubat" sheetId="6" state="visible" r:id="rId6"/>
    <sheet name="Mart" sheetId="7" state="visible" r:id="rId7"/>
    <sheet name="Nisan" sheetId="8" state="visible" r:id="rId8"/>
    <sheet name="Mayıs" sheetId="9" state="visible" r:id="rId9"/>
    <sheet name="Haziran" sheetId="10" state="visible" r:id="rId10"/>
    <sheet name="Temmuz" sheetId="11" state="visible" r:id="rId11"/>
    <sheet name="Ağustos" sheetId="12" state="visible" r:id="rId12"/>
    <sheet name="Eylül" sheetId="13" state="visible" r:id="rId13"/>
    <sheet name="Ekim" sheetId="14" state="visible" r:id="rId14"/>
    <sheet name="Kasım" sheetId="15" state="visible" r:id="rId15"/>
    <sheet name="Aralık" sheetId="16" state="visible" r:id="rId16"/>
  </sheets>
  <definedNames>
    <definedName name="PL_GIRIS">Personel_Listesi!$D$5:$D$29</definedName>
    <definedName name="PL_CIKIS">Personel_Listesi!$E$5:$E$29</definedName>
    <definedName name="KOD">'Kodlar_Tatiller'!$A$5:$A$24</definedName>
    <definedName name="KOD_GUN">'Kodlar_Tatiller'!$C$5:$C$24</definedName>
    <definedName name="KOD_DEVAMSIZ">'Kodlar_Tatiller'!$D$5:$D$24</definedName>
    <definedName name="KOD_IZIN">'Kodlar_Tatiller'!$E$5:$E$24</definedName>
    <definedName name="KOD_YEMEK">'Kodlar_Tatiller'!$F$5:$F$24</definedName>
    <definedName name="KOD_GRUP">'Kodlar_Tatiller'!$G$5:$G$24</definedName>
    <definedName name="TATIL">'Kodlar_Tatiller'!$I$5:$I$44</definedName>
    <definedName name="_xlnm._FilterDatabase" localSheetId="0" hidden="1">'Yillik_Rapor'!$A$7:$H$333</definedName>
    <definedName name="_xlnm.Print_Titles" localSheetId="0">'Yillik_Rapor'!$7:$7</definedName>
    <definedName name="_xlnm.Print_Titles" localSheetId="4">'Ocak'!$3:$5,'Ocak'!$A:$G</definedName>
    <definedName name="_xlnm.Print_Area" localSheetId="4">'Ocak'!$A$1:$BQ$32</definedName>
    <definedName name="_xlnm.Print_Titles" localSheetId="5">'Şubat'!$3:$5,'Şubat'!$A:$G</definedName>
    <definedName name="_xlnm.Print_Area" localSheetId="5">'Şubat'!$A$1:$BK$32</definedName>
    <definedName name="_xlnm.Print_Titles" localSheetId="6">'Mart'!$3:$5,'Mart'!$A:$G</definedName>
    <definedName name="_xlnm.Print_Area" localSheetId="6">'Mart'!$A$1:$BQ$32</definedName>
    <definedName name="_xlnm.Print_Titles" localSheetId="7">'Nisan'!$3:$5,'Nisan'!$A:$G</definedName>
    <definedName name="_xlnm.Print_Area" localSheetId="7">'Nisan'!$A$1:$BO$32</definedName>
    <definedName name="_xlnm.Print_Titles" localSheetId="8">'Mayıs'!$3:$5,'Mayıs'!$A:$G</definedName>
    <definedName name="_xlnm.Print_Area" localSheetId="8">'Mayıs'!$A$1:$BQ$32</definedName>
    <definedName name="_xlnm.Print_Titles" localSheetId="9">'Haziran'!$3:$5,'Haziran'!$A:$G</definedName>
    <definedName name="_xlnm.Print_Area" localSheetId="9">'Haziran'!$A$1:$BO$32</definedName>
    <definedName name="_xlnm.Print_Titles" localSheetId="10">'Temmuz'!$3:$5,'Temmuz'!$A:$G</definedName>
    <definedName name="_xlnm.Print_Area" localSheetId="10">'Temmuz'!$A$1:$BQ$32</definedName>
    <definedName name="_xlnm.Print_Titles" localSheetId="11">'Ağustos'!$3:$5,'Ağustos'!$A:$G</definedName>
    <definedName name="_xlnm.Print_Area" localSheetId="11">'Ağustos'!$A$1:$BQ$32</definedName>
    <definedName name="_xlnm.Print_Titles" localSheetId="12">'Eylül'!$3:$5,'Eylül'!$A:$G</definedName>
    <definedName name="_xlnm.Print_Area" localSheetId="12">'Eylül'!$A$1:$BO$32</definedName>
    <definedName name="_xlnm.Print_Titles" localSheetId="13">'Ekim'!$3:$5,'Ekim'!$A:$G</definedName>
    <definedName name="_xlnm.Print_Area" localSheetId="13">'Ekim'!$A$1:$BQ$32</definedName>
    <definedName name="_xlnm.Print_Titles" localSheetId="14">'Kasım'!$3:$5,'Kasım'!$A:$G</definedName>
    <definedName name="_xlnm.Print_Area" localSheetId="14">'Kasım'!$A$1:$BO$32</definedName>
    <definedName name="_xlnm.Print_Titles" localSheetId="15">'Aralık'!$3:$5,'Aralık'!$A:$G</definedName>
    <definedName name="_xlnm.Print_Area" localSheetId="15">'Aralık'!$A$1:$BQ$32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dd.mm.yyyy"/>
    <numFmt numFmtId="165" formatCode="0.0#"/>
    <numFmt numFmtId="166" formatCode="yyyy-mm-dd"/>
    <numFmt numFmtId="167" formatCode="d"/>
    <numFmt numFmtId="168" formatCode="[$-41F]dddd"/>
    <numFmt numFmtId="169" formatCode="0.0;-0.0;0"/>
    <numFmt numFmtId="170" formatCode="0.##;-0.##;;@"/>
    <numFmt numFmtId="171" formatCode="0;-0;"/>
    <numFmt numFmtId="172" formatCode="0.#;-0.#;"/>
    <numFmt numFmtId="173" formatCode="#,##0.0"/>
    <numFmt numFmtId="17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3864"/>
      <sz val="10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1F3864"/>
      <sz val="12"/>
    </font>
    <font>
      <name val="Calibri"/>
      <sz val="11"/>
    </font>
    <font>
      <name val="Calibri"/>
      <b val="1"/>
      <sz val="10"/>
    </font>
    <font>
      <name val="Calibri"/>
      <b val="1"/>
      <color rgb="00006100"/>
      <sz val="11"/>
    </font>
    <font>
      <name val="Calibri"/>
      <b val="1"/>
      <color rgb="009C5700"/>
      <sz val="11"/>
    </font>
    <font>
      <name val="Calibri"/>
      <b val="1"/>
      <color rgb="009C0006"/>
      <sz val="11"/>
    </font>
    <font>
      <name val="Calibri"/>
      <b val="1"/>
      <color rgb="001F4E78"/>
      <sz val="11"/>
    </font>
    <font>
      <name val="Calibri"/>
      <b val="1"/>
      <color rgb="005B3A7A"/>
      <sz val="11"/>
    </font>
    <font>
      <name val="Calibri"/>
      <b val="1"/>
      <color rgb="00006100"/>
      <sz val="10"/>
    </font>
    <font>
      <name val="Calibri"/>
      <b val="1"/>
      <color rgb="009C5700"/>
      <sz val="10"/>
    </font>
    <font>
      <name val="Calibri"/>
      <b val="1"/>
      <color rgb="009C0006"/>
      <sz val="10"/>
    </font>
    <font>
      <name val="Calibri"/>
      <b val="1"/>
      <color rgb="001F4E78"/>
      <sz val="10"/>
    </font>
    <font>
      <name val="Calibri"/>
      <b val="1"/>
      <color rgb="005B3A7A"/>
      <sz val="10"/>
    </font>
    <font>
      <name val="Calibri"/>
      <b val="1"/>
      <color rgb="00833C0B"/>
      <sz val="10"/>
    </font>
    <font>
      <name val="Calibri"/>
      <b val="1"/>
      <color rgb="00006100"/>
      <sz val="9"/>
    </font>
    <font>
      <name val="Calibri"/>
      <b val="1"/>
      <color rgb="009C5700"/>
      <sz val="9"/>
    </font>
    <font>
      <name val="Calibri"/>
      <b val="1"/>
      <color rgb="009C0006"/>
      <sz val="9"/>
    </font>
    <font>
      <name val="Calibri"/>
      <b val="1"/>
      <color rgb="001F4E78"/>
      <sz val="9"/>
    </font>
    <font>
      <name val="Calibri"/>
      <b val="1"/>
      <color rgb="005B3A7A"/>
      <sz val="9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FFFFFF"/>
      <sz val="7"/>
    </font>
    <font>
      <name val="Calibri"/>
      <color rgb="00595959"/>
      <sz val="9"/>
    </font>
    <font>
      <name val="Calibri"/>
      <b val="1"/>
      <color rgb="002E75B6"/>
      <sz val="9"/>
    </font>
    <font>
      <name val="Calibri"/>
      <b val="1"/>
      <color rgb="001F3864"/>
      <sz val="18"/>
    </font>
    <font>
      <name val="Calibri"/>
      <b val="1"/>
      <color rgb="00C00000"/>
      <sz val="13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3F7FB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F4B183"/>
      </patternFill>
    </fill>
    <fill>
      <patternFill patternType="solid">
        <fgColor rgb="002E75B6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/>
    <border>
      <left style="thin">
        <color rgb="00A6B8D4"/>
      </left>
      <right style="thin">
        <color rgb="00A6B8D4"/>
      </right>
      <top style="thin">
        <color rgb="00A6B8D4"/>
      </top>
      <bottom style="thin">
        <color rgb="00A6B8D4"/>
      </bottom>
    </border>
    <border>
      <left style="medium">
        <color rgb="001F3864"/>
      </left>
      <right style="thin">
        <color rgb="00A6B8D4"/>
      </right>
      <top style="thin">
        <color rgb="00A6B8D4"/>
      </top>
      <bottom style="thin">
        <color rgb="00A6B8D4"/>
      </bottom>
    </border>
    <border>
      <left style="thin">
        <color rgb="00FFFFFF"/>
      </left>
      <top style="medium">
        <color rgb="001F3864"/>
      </top>
    </border>
    <border>
      <left style="thin">
        <color rgb="00FFFFFF"/>
      </left>
    </border>
    <border>
      <left style="thin">
        <color rgb="00A6B8D4"/>
      </left>
      <right style="thin">
        <color rgb="00A6B8D4"/>
      </right>
      <top style="thin">
        <color rgb="00A6B8D4"/>
      </top>
      <bottom style="medium">
        <color rgb="001F3864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/>
      <right/>
      <top style="thin">
        <color rgb="00A6B8D4"/>
      </top>
      <bottom/>
      <diagonal/>
    </border>
    <border>
      <left/>
      <right style="thin">
        <color rgb="00A6B8D4"/>
      </right>
      <top style="thin">
        <color rgb="00A6B8D4"/>
      </top>
      <bottom/>
      <diagonal/>
    </border>
    <border>
      <left/>
      <right style="thin">
        <color rgb="00A6B8D4"/>
      </right>
      <top style="thin">
        <color rgb="00A6B8D4"/>
      </top>
      <bottom style="thin">
        <color rgb="00A6B8D4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8" fillId="13" borderId="4" applyAlignment="1" pivotButton="0" quotePrefix="0" xfId="0">
      <alignment horizontal="center" vertical="center" wrapText="1"/>
    </xf>
    <xf numFmtId="1" fontId="29" fillId="13" borderId="5" applyAlignment="1" pivotButton="0" quotePrefix="0" xfId="0">
      <alignment horizontal="center" vertical="center" wrapText="1"/>
    </xf>
    <xf numFmtId="0" fontId="29" fillId="13" borderId="5" applyAlignment="1" pivotButton="0" quotePrefix="0" xfId="0">
      <alignment horizontal="center" vertical="center" wrapText="1"/>
    </xf>
    <xf numFmtId="173" fontId="29" fillId="13" borderId="5" applyAlignment="1" pivotButton="0" quotePrefix="0" xfId="0">
      <alignment horizontal="center" vertical="center" wrapText="1"/>
    </xf>
    <xf numFmtId="3" fontId="29" fillId="13" borderId="5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indent="1"/>
    </xf>
    <xf numFmtId="169" fontId="6" fillId="3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indent="1"/>
    </xf>
    <xf numFmtId="169" fontId="6" fillId="4" borderId="2" applyAlignment="1" pivotButton="0" quotePrefix="0" xfId="0">
      <alignment horizontal="center" vertical="center" wrapText="1"/>
    </xf>
    <xf numFmtId="0" fontId="4" fillId="13" borderId="6" applyAlignment="1" pivotButton="0" quotePrefix="0" xfId="0">
      <alignment horizontal="center" vertical="center" wrapText="1"/>
    </xf>
    <xf numFmtId="0" fontId="4" fillId="13" borderId="6" applyAlignment="1" pivotButton="0" quotePrefix="0" xfId="0">
      <alignment horizontal="left" vertical="center" indent="1"/>
    </xf>
    <xf numFmtId="169" fontId="4" fillId="13" borderId="6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30" fillId="5" borderId="7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indent="1"/>
    </xf>
    <xf numFmtId="0" fontId="4" fillId="3" borderId="2" applyAlignment="1" pivotButton="0" quotePrefix="0" xfId="0">
      <alignment horizontal="left" vertical="center" indent="1"/>
    </xf>
    <xf numFmtId="174" fontId="6" fillId="3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174" fontId="6" fillId="4" borderId="2" applyAlignment="1" pivotButton="0" quotePrefix="0" xfId="0">
      <alignment horizontal="center" vertical="center" wrapText="1"/>
    </xf>
    <xf numFmtId="169" fontId="3" fillId="12" borderId="2" applyAlignment="1" pivotButton="0" quotePrefix="0" xfId="0">
      <alignment horizontal="center" vertical="center" wrapText="1"/>
    </xf>
    <xf numFmtId="174" fontId="3" fillId="12" borderId="2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3" borderId="2" applyAlignment="1" pivotButton="0" quotePrefix="0" xfId="0">
      <alignment horizontal="center" vertical="center" wrapText="1"/>
    </xf>
    <xf numFmtId="3" fontId="6" fillId="3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73" fontId="3" fillId="2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indent="1"/>
    </xf>
    <xf numFmtId="164" fontId="6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indent="1"/>
    </xf>
    <xf numFmtId="164" fontId="6" fillId="4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indent="1"/>
    </xf>
    <xf numFmtId="165" fontId="6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164" fontId="6" fillId="5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0" fontId="13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19" fillId="6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center" vertical="center" wrapText="1"/>
    </xf>
    <xf numFmtId="0" fontId="23" fillId="10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center" vertical="center" wrapText="1"/>
    </xf>
    <xf numFmtId="0" fontId="3" fillId="12" borderId="3" applyAlignment="1" pivotButton="0" quotePrefix="0" xfId="0">
      <alignment horizontal="center" vertical="center" textRotation="90" wrapText="1"/>
    </xf>
    <xf numFmtId="0" fontId="3" fillId="12" borderId="2" applyAlignment="1" pivotButton="0" quotePrefix="0" xfId="0">
      <alignment horizontal="center" vertical="center" textRotation="90" wrapText="1"/>
    </xf>
    <xf numFmtId="167" fontId="25" fillId="2" borderId="3" applyAlignment="1" pivotButton="0" quotePrefix="0" xfId="0">
      <alignment horizontal="center" vertical="center" wrapText="1"/>
    </xf>
    <xf numFmtId="0" fontId="25" fillId="2" borderId="2" applyAlignment="1" pivotButton="0" quotePrefix="0" xfId="0">
      <alignment horizontal="center" vertical="center" wrapText="1"/>
    </xf>
    <xf numFmtId="167" fontId="25" fillId="2" borderId="2" applyAlignment="1" pivotButton="0" quotePrefix="0" xfId="0">
      <alignment horizontal="center" vertical="center" wrapText="1"/>
    </xf>
    <xf numFmtId="168" fontId="3" fillId="2" borderId="3" applyAlignment="1" pivotButton="0" quotePrefix="0" xfId="0">
      <alignment horizontal="center" vertical="center" textRotation="90" wrapText="1"/>
    </xf>
    <xf numFmtId="0" fontId="3" fillId="2" borderId="2" applyAlignment="1" pivotButton="0" quotePrefix="0" xfId="0">
      <alignment horizontal="center" vertical="center" textRotation="90" wrapText="1"/>
    </xf>
    <xf numFmtId="168" fontId="3" fillId="2" borderId="2" applyAlignment="1" pivotButton="0" quotePrefix="0" xfId="0">
      <alignment horizontal="center" vertical="center" textRotation="90" wrapText="1"/>
    </xf>
    <xf numFmtId="0" fontId="26" fillId="12" borderId="3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27" fillId="3" borderId="2" applyAlignment="1" pivotButton="0" quotePrefix="0" xfId="0">
      <alignment horizontal="center" vertical="center" wrapText="1"/>
    </xf>
    <xf numFmtId="169" fontId="5" fillId="13" borderId="3" applyAlignment="1" pivotButton="0" quotePrefix="0" xfId="0">
      <alignment horizontal="center" vertical="center" wrapText="1"/>
    </xf>
    <xf numFmtId="169" fontId="5" fillId="13" borderId="2" applyAlignment="1" pivotButton="0" quotePrefix="0" xfId="0">
      <alignment horizontal="center" vertical="center" wrapText="1"/>
    </xf>
    <xf numFmtId="49" fontId="7" fillId="3" borderId="3" applyAlignment="1" pivotButton="0" quotePrefix="0" xfId="0">
      <alignment horizontal="center" vertical="center" wrapText="1"/>
    </xf>
    <xf numFmtId="170" fontId="6" fillId="3" borderId="2" applyAlignment="1" pivotButton="0" quotePrefix="0" xfId="0">
      <alignment horizontal="center" vertical="center" wrapText="1"/>
    </xf>
    <xf numFmtId="49" fontId="7" fillId="3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170" fontId="6" fillId="4" borderId="2" applyAlignment="1" pivotButton="0" quotePrefix="0" xfId="0">
      <alignment horizontal="center" vertical="center" wrapText="1"/>
    </xf>
    <xf numFmtId="49" fontId="7" fillId="4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left" vertical="center" indent="1"/>
    </xf>
    <xf numFmtId="0" fontId="3" fillId="2" borderId="3" applyAlignment="1" pivotButton="0" quotePrefix="0" xfId="0">
      <alignment horizontal="center" vertical="center" wrapText="1"/>
    </xf>
    <xf numFmtId="171" fontId="5" fillId="13" borderId="3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171" fontId="5" fillId="13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172" fontId="4" fillId="4" borderId="3" applyAlignment="1" pivotButton="0" quotePrefix="0" xfId="0">
      <alignment horizontal="center" vertical="center" wrapText="1"/>
    </xf>
    <xf numFmtId="172" fontId="4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b val="1"/>
        <color rgb="00C00000"/>
      </font>
      <fill>
        <patternFill patternType="solid">
          <fgColor rgb="00FFF2CC"/>
          <bgColor rgb="00FFF2C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8"/>
      </font>
      <fill>
        <patternFill patternType="solid">
          <fgColor rgb="00BDD7EE"/>
          <bgColor rgb="00BDD7EE"/>
        </patternFill>
      </fill>
    </dxf>
    <dxf>
      <font>
        <b val="1"/>
        <color rgb="005B3A7A"/>
      </font>
      <fill>
        <patternFill patternType="solid">
          <fgColor rgb="00E4DFEC"/>
          <bgColor rgb="00E4DFEC"/>
        </patternFill>
      </fill>
    </dxf>
    <dxf>
      <font>
        <b val="1"/>
        <color rgb="00833C0B"/>
      </font>
      <fill>
        <patternFill patternType="solid">
          <fgColor rgb="00F4B183"/>
          <bgColor rgb="00F4B183"/>
        </patternFill>
      </fill>
    </dxf>
    <dxf>
      <fill>
        <patternFill patternType="solid">
          <fgColor rgb="00A6A6A6"/>
          <bgColor rgb="00A6A6A6"/>
        </patternFill>
      </fill>
    </dxf>
    <dxf>
      <fill>
        <patternFill patternType="solid">
          <fgColor rgb="00E7E6E6"/>
          <bgColor rgb="00E7E6E6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3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6" customWidth="1" min="3" max="3"/>
    <col width="13" customWidth="1" min="4" max="4"/>
    <col width="16" customWidth="1" min="5" max="5"/>
    <col width="16" customWidth="1" min="6" max="6"/>
    <col width="14" customWidth="1" min="7" max="7"/>
    <col width="16" customWidth="1" min="8" max="8"/>
  </cols>
  <sheetData>
    <row r="1" ht="38" customHeight="1">
      <c r="A1" s="1" t="inlineStr">
        <is>
          <t>2026 YILI PERSONEL PUANTAJ VE MESAİ İCMAL RAPORU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Bu sayfadaki tüm değerler aylık puantaj sayfalarına bağlı formüllerdir; elle değer girmeyiniz. Filtre oklarıyla personel, birim veya ay seçebilirsiniz.</t>
        </is>
      </c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3" t="inlineStr">
        <is>
          <t>TOPLAM PERSONEL</t>
        </is>
      </c>
      <c r="B4" s="3" t="n"/>
      <c r="C4" s="3" t="inlineStr">
        <is>
          <t>ÇALIŞILAN GÜN</t>
        </is>
      </c>
      <c r="D4" s="3" t="n"/>
      <c r="E4" s="3" t="inlineStr">
        <is>
          <t>DEVAMSIZLIK</t>
        </is>
      </c>
      <c r="F4" s="3" t="inlineStr">
        <is>
          <t>MESAİ (SAAT)</t>
        </is>
      </c>
      <c r="G4" s="3" t="n"/>
      <c r="H4" s="3" t="inlineStr">
        <is>
          <t>YEMEK SAYISI</t>
        </is>
      </c>
    </row>
    <row r="5" ht="34" customHeight="1">
      <c r="A5" s="4">
        <f>COUNTA(Personel_Listesi!B5:B29)</f>
        <v/>
      </c>
      <c r="B5" s="5" t="n"/>
      <c r="C5" s="6">
        <f>SUMIF($D$9:$D$333,"YILLIK TOPLAM",$E$9:$E$333)</f>
        <v/>
      </c>
      <c r="D5" s="5" t="n"/>
      <c r="E5" s="6">
        <f>SUMIF($D$9:$D$333,"YILLIK TOPLAM",$F$9:$F$333)</f>
        <v/>
      </c>
      <c r="F5" s="6">
        <f>SUMIF($D$9:$D$333,"YILLIK TOPLAM",$H$9:$H$333)</f>
        <v/>
      </c>
      <c r="G5" s="5" t="n"/>
      <c r="H5" s="7">
        <f>SUM('Ocak'!H31:BQ31)+SUM('Şubat'!H31:BQ31)+SUM('Mart'!H31:BQ31)+SUM('Nisan'!H31:BQ31)+SUM('Mayıs'!H31:BQ31)+SUM('Haziran'!H31:BQ31)+SUM('Temmuz'!H31:BQ31)+SUM('Ağustos'!H31:BQ31)+SUM('Eylül'!H31:BQ31)+SUM('Ekim'!H31:BQ31)+SUM('Kasım'!H31:BQ31)+SUM('Aralık'!H31:BQ31)</f>
        <v/>
      </c>
    </row>
    <row r="7" ht="32" customHeight="1">
      <c r="A7" s="8" t="inlineStr">
        <is>
          <t>S.N</t>
        </is>
      </c>
      <c r="B7" s="8" t="inlineStr">
        <is>
          <t>Ad Soyad</t>
        </is>
      </c>
      <c r="C7" s="8" t="inlineStr">
        <is>
          <t>Birim</t>
        </is>
      </c>
      <c r="D7" s="8" t="inlineStr">
        <is>
          <t>Ay</t>
        </is>
      </c>
      <c r="E7" s="8" t="inlineStr">
        <is>
          <t>Toplam Çalışılan Gün</t>
        </is>
      </c>
      <c r="F7" s="8" t="inlineStr">
        <is>
          <t>Toplam Devamsızlık</t>
        </is>
      </c>
      <c r="G7" s="8" t="inlineStr">
        <is>
          <t>İzin / Rapor</t>
        </is>
      </c>
      <c r="H7" s="8" t="inlineStr">
        <is>
          <t>Toplam Mesai (Saat)</t>
        </is>
      </c>
    </row>
    <row r="8" ht="4" customHeight="1"/>
    <row r="9">
      <c r="A9" s="9">
        <f>'Ocak'!$A$6</f>
        <v/>
      </c>
      <c r="B9" s="10">
        <f>'Ocak'!$B$6</f>
        <v/>
      </c>
      <c r="C9" s="9">
        <f>'Ocak'!$C$6</f>
        <v/>
      </c>
      <c r="D9" s="9">
        <f>IF('Ocak'!$B$6="","","Ocak")</f>
        <v/>
      </c>
      <c r="E9" s="11">
        <f>'Ocak'!$D$6</f>
        <v/>
      </c>
      <c r="F9" s="11">
        <f>'Ocak'!$E$6</f>
        <v/>
      </c>
      <c r="G9" s="11">
        <f>'Ocak'!$F$6</f>
        <v/>
      </c>
      <c r="H9" s="11">
        <f>'Ocak'!$G$6</f>
        <v/>
      </c>
    </row>
    <row r="10">
      <c r="A10" s="12">
        <f>'Şubat'!$A$6</f>
        <v/>
      </c>
      <c r="B10" s="13">
        <f>'Şubat'!$B$6</f>
        <v/>
      </c>
      <c r="C10" s="12">
        <f>'Şubat'!$C$6</f>
        <v/>
      </c>
      <c r="D10" s="12">
        <f>IF('Şubat'!$B$6="","","Şubat")</f>
        <v/>
      </c>
      <c r="E10" s="14">
        <f>'Şubat'!$D$6</f>
        <v/>
      </c>
      <c r="F10" s="14">
        <f>'Şubat'!$E$6</f>
        <v/>
      </c>
      <c r="G10" s="14">
        <f>'Şubat'!$F$6</f>
        <v/>
      </c>
      <c r="H10" s="14">
        <f>'Şubat'!$G$6</f>
        <v/>
      </c>
    </row>
    <row r="11">
      <c r="A11" s="9">
        <f>'Mart'!$A$6</f>
        <v/>
      </c>
      <c r="B11" s="10">
        <f>'Mart'!$B$6</f>
        <v/>
      </c>
      <c r="C11" s="9">
        <f>'Mart'!$C$6</f>
        <v/>
      </c>
      <c r="D11" s="9">
        <f>IF('Mart'!$B$6="","","Mart")</f>
        <v/>
      </c>
      <c r="E11" s="11">
        <f>'Mart'!$D$6</f>
        <v/>
      </c>
      <c r="F11" s="11">
        <f>'Mart'!$E$6</f>
        <v/>
      </c>
      <c r="G11" s="11">
        <f>'Mart'!$F$6</f>
        <v/>
      </c>
      <c r="H11" s="11">
        <f>'Mart'!$G$6</f>
        <v/>
      </c>
    </row>
    <row r="12">
      <c r="A12" s="12">
        <f>'Nisan'!$A$6</f>
        <v/>
      </c>
      <c r="B12" s="13">
        <f>'Nisan'!$B$6</f>
        <v/>
      </c>
      <c r="C12" s="12">
        <f>'Nisan'!$C$6</f>
        <v/>
      </c>
      <c r="D12" s="12">
        <f>IF('Nisan'!$B$6="","","Nisan")</f>
        <v/>
      </c>
      <c r="E12" s="14">
        <f>'Nisan'!$D$6</f>
        <v/>
      </c>
      <c r="F12" s="14">
        <f>'Nisan'!$E$6</f>
        <v/>
      </c>
      <c r="G12" s="14">
        <f>'Nisan'!$F$6</f>
        <v/>
      </c>
      <c r="H12" s="14">
        <f>'Nisan'!$G$6</f>
        <v/>
      </c>
    </row>
    <row r="13">
      <c r="A13" s="9">
        <f>'Mayıs'!$A$6</f>
        <v/>
      </c>
      <c r="B13" s="10">
        <f>'Mayıs'!$B$6</f>
        <v/>
      </c>
      <c r="C13" s="9">
        <f>'Mayıs'!$C$6</f>
        <v/>
      </c>
      <c r="D13" s="9">
        <f>IF('Mayıs'!$B$6="","","Mayıs")</f>
        <v/>
      </c>
      <c r="E13" s="11">
        <f>'Mayıs'!$D$6</f>
        <v/>
      </c>
      <c r="F13" s="11">
        <f>'Mayıs'!$E$6</f>
        <v/>
      </c>
      <c r="G13" s="11">
        <f>'Mayıs'!$F$6</f>
        <v/>
      </c>
      <c r="H13" s="11">
        <f>'Mayıs'!$G$6</f>
        <v/>
      </c>
    </row>
    <row r="14">
      <c r="A14" s="12">
        <f>'Haziran'!$A$6</f>
        <v/>
      </c>
      <c r="B14" s="13">
        <f>'Haziran'!$B$6</f>
        <v/>
      </c>
      <c r="C14" s="12">
        <f>'Haziran'!$C$6</f>
        <v/>
      </c>
      <c r="D14" s="12">
        <f>IF('Haziran'!$B$6="","","Haziran")</f>
        <v/>
      </c>
      <c r="E14" s="14">
        <f>'Haziran'!$D$6</f>
        <v/>
      </c>
      <c r="F14" s="14">
        <f>'Haziran'!$E$6</f>
        <v/>
      </c>
      <c r="G14" s="14">
        <f>'Haziran'!$F$6</f>
        <v/>
      </c>
      <c r="H14" s="14">
        <f>'Haziran'!$G$6</f>
        <v/>
      </c>
    </row>
    <row r="15">
      <c r="A15" s="9">
        <f>'Temmuz'!$A$6</f>
        <v/>
      </c>
      <c r="B15" s="10">
        <f>'Temmuz'!$B$6</f>
        <v/>
      </c>
      <c r="C15" s="9">
        <f>'Temmuz'!$C$6</f>
        <v/>
      </c>
      <c r="D15" s="9">
        <f>IF('Temmuz'!$B$6="","","Temmuz")</f>
        <v/>
      </c>
      <c r="E15" s="11">
        <f>'Temmuz'!$D$6</f>
        <v/>
      </c>
      <c r="F15" s="11">
        <f>'Temmuz'!$E$6</f>
        <v/>
      </c>
      <c r="G15" s="11">
        <f>'Temmuz'!$F$6</f>
        <v/>
      </c>
      <c r="H15" s="11">
        <f>'Temmuz'!$G$6</f>
        <v/>
      </c>
    </row>
    <row r="16">
      <c r="A16" s="12">
        <f>'Ağustos'!$A$6</f>
        <v/>
      </c>
      <c r="B16" s="13">
        <f>'Ağustos'!$B$6</f>
        <v/>
      </c>
      <c r="C16" s="12">
        <f>'Ağustos'!$C$6</f>
        <v/>
      </c>
      <c r="D16" s="12">
        <f>IF('Ağustos'!$B$6="","","Ağustos")</f>
        <v/>
      </c>
      <c r="E16" s="14">
        <f>'Ağustos'!$D$6</f>
        <v/>
      </c>
      <c r="F16" s="14">
        <f>'Ağustos'!$E$6</f>
        <v/>
      </c>
      <c r="G16" s="14">
        <f>'Ağustos'!$F$6</f>
        <v/>
      </c>
      <c r="H16" s="14">
        <f>'Ağustos'!$G$6</f>
        <v/>
      </c>
    </row>
    <row r="17">
      <c r="A17" s="9">
        <f>'Eylül'!$A$6</f>
        <v/>
      </c>
      <c r="B17" s="10">
        <f>'Eylül'!$B$6</f>
        <v/>
      </c>
      <c r="C17" s="9">
        <f>'Eylül'!$C$6</f>
        <v/>
      </c>
      <c r="D17" s="9">
        <f>IF('Eylül'!$B$6="","","Eylül")</f>
        <v/>
      </c>
      <c r="E17" s="11">
        <f>'Eylül'!$D$6</f>
        <v/>
      </c>
      <c r="F17" s="11">
        <f>'Eylül'!$E$6</f>
        <v/>
      </c>
      <c r="G17" s="11">
        <f>'Eylül'!$F$6</f>
        <v/>
      </c>
      <c r="H17" s="11">
        <f>'Eylül'!$G$6</f>
        <v/>
      </c>
    </row>
    <row r="18">
      <c r="A18" s="12">
        <f>'Ekim'!$A$6</f>
        <v/>
      </c>
      <c r="B18" s="13">
        <f>'Ekim'!$B$6</f>
        <v/>
      </c>
      <c r="C18" s="12">
        <f>'Ekim'!$C$6</f>
        <v/>
      </c>
      <c r="D18" s="12">
        <f>IF('Ekim'!$B$6="","","Ekim")</f>
        <v/>
      </c>
      <c r="E18" s="14">
        <f>'Ekim'!$D$6</f>
        <v/>
      </c>
      <c r="F18" s="14">
        <f>'Ekim'!$E$6</f>
        <v/>
      </c>
      <c r="G18" s="14">
        <f>'Ekim'!$F$6</f>
        <v/>
      </c>
      <c r="H18" s="14">
        <f>'Ekim'!$G$6</f>
        <v/>
      </c>
    </row>
    <row r="19">
      <c r="A19" s="9">
        <f>'Kasım'!$A$6</f>
        <v/>
      </c>
      <c r="B19" s="10">
        <f>'Kasım'!$B$6</f>
        <v/>
      </c>
      <c r="C19" s="9">
        <f>'Kasım'!$C$6</f>
        <v/>
      </c>
      <c r="D19" s="9">
        <f>IF('Kasım'!$B$6="","","Kasım")</f>
        <v/>
      </c>
      <c r="E19" s="11">
        <f>'Kasım'!$D$6</f>
        <v/>
      </c>
      <c r="F19" s="11">
        <f>'Kasım'!$E$6</f>
        <v/>
      </c>
      <c r="G19" s="11">
        <f>'Kasım'!$F$6</f>
        <v/>
      </c>
      <c r="H19" s="11">
        <f>'Kasım'!$G$6</f>
        <v/>
      </c>
    </row>
    <row r="20">
      <c r="A20" s="12">
        <f>'Aralık'!$A$6</f>
        <v/>
      </c>
      <c r="B20" s="13">
        <f>'Aralık'!$B$6</f>
        <v/>
      </c>
      <c r="C20" s="12">
        <f>'Aralık'!$C$6</f>
        <v/>
      </c>
      <c r="D20" s="12">
        <f>IF('Aralık'!$B$6="","","Aralık")</f>
        <v/>
      </c>
      <c r="E20" s="14">
        <f>'Aralık'!$D$6</f>
        <v/>
      </c>
      <c r="F20" s="14">
        <f>'Aralık'!$E$6</f>
        <v/>
      </c>
      <c r="G20" s="14">
        <f>'Aralık'!$F$6</f>
        <v/>
      </c>
      <c r="H20" s="14">
        <f>'Aralık'!$G$6</f>
        <v/>
      </c>
    </row>
    <row r="21" ht="20" customHeight="1">
      <c r="A21" s="15">
        <f>$A$9</f>
        <v/>
      </c>
      <c r="B21" s="16">
        <f>$B$9</f>
        <v/>
      </c>
      <c r="C21" s="15">
        <f>$C$9</f>
        <v/>
      </c>
      <c r="D21" s="15">
        <f>IF($B$9="","","YILLIK TOPLAM")</f>
        <v/>
      </c>
      <c r="E21" s="17">
        <f>IF($B$9="","",SUM(E9:E20))</f>
        <v/>
      </c>
      <c r="F21" s="17">
        <f>IF($B$9="","",SUM(F9:F20))</f>
        <v/>
      </c>
      <c r="G21" s="17">
        <f>IF($B$9="","",SUM(G9:G20))</f>
        <v/>
      </c>
      <c r="H21" s="17">
        <f>IF($B$9="","",SUM(H9:H20))</f>
        <v/>
      </c>
    </row>
    <row r="22">
      <c r="A22" s="9">
        <f>'Ocak'!$A$7</f>
        <v/>
      </c>
      <c r="B22" s="10">
        <f>'Ocak'!$B$7</f>
        <v/>
      </c>
      <c r="C22" s="9">
        <f>'Ocak'!$C$7</f>
        <v/>
      </c>
      <c r="D22" s="9">
        <f>IF('Ocak'!$B$7="","","Ocak")</f>
        <v/>
      </c>
      <c r="E22" s="11">
        <f>'Ocak'!$D$7</f>
        <v/>
      </c>
      <c r="F22" s="11">
        <f>'Ocak'!$E$7</f>
        <v/>
      </c>
      <c r="G22" s="11">
        <f>'Ocak'!$F$7</f>
        <v/>
      </c>
      <c r="H22" s="11">
        <f>'Ocak'!$G$7</f>
        <v/>
      </c>
    </row>
    <row r="23">
      <c r="A23" s="12">
        <f>'Şubat'!$A$7</f>
        <v/>
      </c>
      <c r="B23" s="13">
        <f>'Şubat'!$B$7</f>
        <v/>
      </c>
      <c r="C23" s="12">
        <f>'Şubat'!$C$7</f>
        <v/>
      </c>
      <c r="D23" s="12">
        <f>IF('Şubat'!$B$7="","","Şubat")</f>
        <v/>
      </c>
      <c r="E23" s="14">
        <f>'Şubat'!$D$7</f>
        <v/>
      </c>
      <c r="F23" s="14">
        <f>'Şubat'!$E$7</f>
        <v/>
      </c>
      <c r="G23" s="14">
        <f>'Şubat'!$F$7</f>
        <v/>
      </c>
      <c r="H23" s="14">
        <f>'Şubat'!$G$7</f>
        <v/>
      </c>
    </row>
    <row r="24">
      <c r="A24" s="9">
        <f>'Mart'!$A$7</f>
        <v/>
      </c>
      <c r="B24" s="10">
        <f>'Mart'!$B$7</f>
        <v/>
      </c>
      <c r="C24" s="9">
        <f>'Mart'!$C$7</f>
        <v/>
      </c>
      <c r="D24" s="9">
        <f>IF('Mart'!$B$7="","","Mart")</f>
        <v/>
      </c>
      <c r="E24" s="11">
        <f>'Mart'!$D$7</f>
        <v/>
      </c>
      <c r="F24" s="11">
        <f>'Mart'!$E$7</f>
        <v/>
      </c>
      <c r="G24" s="11">
        <f>'Mart'!$F$7</f>
        <v/>
      </c>
      <c r="H24" s="11">
        <f>'Mart'!$G$7</f>
        <v/>
      </c>
    </row>
    <row r="25">
      <c r="A25" s="12">
        <f>'Nisan'!$A$7</f>
        <v/>
      </c>
      <c r="B25" s="13">
        <f>'Nisan'!$B$7</f>
        <v/>
      </c>
      <c r="C25" s="12">
        <f>'Nisan'!$C$7</f>
        <v/>
      </c>
      <c r="D25" s="12">
        <f>IF('Nisan'!$B$7="","","Nisan")</f>
        <v/>
      </c>
      <c r="E25" s="14">
        <f>'Nisan'!$D$7</f>
        <v/>
      </c>
      <c r="F25" s="14">
        <f>'Nisan'!$E$7</f>
        <v/>
      </c>
      <c r="G25" s="14">
        <f>'Nisan'!$F$7</f>
        <v/>
      </c>
      <c r="H25" s="14">
        <f>'Nisan'!$G$7</f>
        <v/>
      </c>
    </row>
    <row r="26">
      <c r="A26" s="9">
        <f>'Mayıs'!$A$7</f>
        <v/>
      </c>
      <c r="B26" s="10">
        <f>'Mayıs'!$B$7</f>
        <v/>
      </c>
      <c r="C26" s="9">
        <f>'Mayıs'!$C$7</f>
        <v/>
      </c>
      <c r="D26" s="9">
        <f>IF('Mayıs'!$B$7="","","Mayıs")</f>
        <v/>
      </c>
      <c r="E26" s="11">
        <f>'Mayıs'!$D$7</f>
        <v/>
      </c>
      <c r="F26" s="11">
        <f>'Mayıs'!$E$7</f>
        <v/>
      </c>
      <c r="G26" s="11">
        <f>'Mayıs'!$F$7</f>
        <v/>
      </c>
      <c r="H26" s="11">
        <f>'Mayıs'!$G$7</f>
        <v/>
      </c>
    </row>
    <row r="27">
      <c r="A27" s="12">
        <f>'Haziran'!$A$7</f>
        <v/>
      </c>
      <c r="B27" s="13">
        <f>'Haziran'!$B$7</f>
        <v/>
      </c>
      <c r="C27" s="12">
        <f>'Haziran'!$C$7</f>
        <v/>
      </c>
      <c r="D27" s="12">
        <f>IF('Haziran'!$B$7="","","Haziran")</f>
        <v/>
      </c>
      <c r="E27" s="14">
        <f>'Haziran'!$D$7</f>
        <v/>
      </c>
      <c r="F27" s="14">
        <f>'Haziran'!$E$7</f>
        <v/>
      </c>
      <c r="G27" s="14">
        <f>'Haziran'!$F$7</f>
        <v/>
      </c>
      <c r="H27" s="14">
        <f>'Haziran'!$G$7</f>
        <v/>
      </c>
    </row>
    <row r="28">
      <c r="A28" s="9">
        <f>'Temmuz'!$A$7</f>
        <v/>
      </c>
      <c r="B28" s="10">
        <f>'Temmuz'!$B$7</f>
        <v/>
      </c>
      <c r="C28" s="9">
        <f>'Temmuz'!$C$7</f>
        <v/>
      </c>
      <c r="D28" s="9">
        <f>IF('Temmuz'!$B$7="","","Temmuz")</f>
        <v/>
      </c>
      <c r="E28" s="11">
        <f>'Temmuz'!$D$7</f>
        <v/>
      </c>
      <c r="F28" s="11">
        <f>'Temmuz'!$E$7</f>
        <v/>
      </c>
      <c r="G28" s="11">
        <f>'Temmuz'!$F$7</f>
        <v/>
      </c>
      <c r="H28" s="11">
        <f>'Temmuz'!$G$7</f>
        <v/>
      </c>
    </row>
    <row r="29">
      <c r="A29" s="12">
        <f>'Ağustos'!$A$7</f>
        <v/>
      </c>
      <c r="B29" s="13">
        <f>'Ağustos'!$B$7</f>
        <v/>
      </c>
      <c r="C29" s="12">
        <f>'Ağustos'!$C$7</f>
        <v/>
      </c>
      <c r="D29" s="12">
        <f>IF('Ağustos'!$B$7="","","Ağustos")</f>
        <v/>
      </c>
      <c r="E29" s="14">
        <f>'Ağustos'!$D$7</f>
        <v/>
      </c>
      <c r="F29" s="14">
        <f>'Ağustos'!$E$7</f>
        <v/>
      </c>
      <c r="G29" s="14">
        <f>'Ağustos'!$F$7</f>
        <v/>
      </c>
      <c r="H29" s="14">
        <f>'Ağustos'!$G$7</f>
        <v/>
      </c>
    </row>
    <row r="30">
      <c r="A30" s="9">
        <f>'Eylül'!$A$7</f>
        <v/>
      </c>
      <c r="B30" s="10">
        <f>'Eylül'!$B$7</f>
        <v/>
      </c>
      <c r="C30" s="9">
        <f>'Eylül'!$C$7</f>
        <v/>
      </c>
      <c r="D30" s="9">
        <f>IF('Eylül'!$B$7="","","Eylül")</f>
        <v/>
      </c>
      <c r="E30" s="11">
        <f>'Eylül'!$D$7</f>
        <v/>
      </c>
      <c r="F30" s="11">
        <f>'Eylül'!$E$7</f>
        <v/>
      </c>
      <c r="G30" s="11">
        <f>'Eylül'!$F$7</f>
        <v/>
      </c>
      <c r="H30" s="11">
        <f>'Eylül'!$G$7</f>
        <v/>
      </c>
    </row>
    <row r="31">
      <c r="A31" s="12">
        <f>'Ekim'!$A$7</f>
        <v/>
      </c>
      <c r="B31" s="13">
        <f>'Ekim'!$B$7</f>
        <v/>
      </c>
      <c r="C31" s="12">
        <f>'Ekim'!$C$7</f>
        <v/>
      </c>
      <c r="D31" s="12">
        <f>IF('Ekim'!$B$7="","","Ekim")</f>
        <v/>
      </c>
      <c r="E31" s="14">
        <f>'Ekim'!$D$7</f>
        <v/>
      </c>
      <c r="F31" s="14">
        <f>'Ekim'!$E$7</f>
        <v/>
      </c>
      <c r="G31" s="14">
        <f>'Ekim'!$F$7</f>
        <v/>
      </c>
      <c r="H31" s="14">
        <f>'Ekim'!$G$7</f>
        <v/>
      </c>
    </row>
    <row r="32">
      <c r="A32" s="9">
        <f>'Kasım'!$A$7</f>
        <v/>
      </c>
      <c r="B32" s="10">
        <f>'Kasım'!$B$7</f>
        <v/>
      </c>
      <c r="C32" s="9">
        <f>'Kasım'!$C$7</f>
        <v/>
      </c>
      <c r="D32" s="9">
        <f>IF('Kasım'!$B$7="","","Kasım")</f>
        <v/>
      </c>
      <c r="E32" s="11">
        <f>'Kasım'!$D$7</f>
        <v/>
      </c>
      <c r="F32" s="11">
        <f>'Kasım'!$E$7</f>
        <v/>
      </c>
      <c r="G32" s="11">
        <f>'Kasım'!$F$7</f>
        <v/>
      </c>
      <c r="H32" s="11">
        <f>'Kasım'!$G$7</f>
        <v/>
      </c>
    </row>
    <row r="33">
      <c r="A33" s="12">
        <f>'Aralık'!$A$7</f>
        <v/>
      </c>
      <c r="B33" s="13">
        <f>'Aralık'!$B$7</f>
        <v/>
      </c>
      <c r="C33" s="12">
        <f>'Aralık'!$C$7</f>
        <v/>
      </c>
      <c r="D33" s="12">
        <f>IF('Aralık'!$B$7="","","Aralık")</f>
        <v/>
      </c>
      <c r="E33" s="14">
        <f>'Aralık'!$D$7</f>
        <v/>
      </c>
      <c r="F33" s="14">
        <f>'Aralık'!$E$7</f>
        <v/>
      </c>
      <c r="G33" s="14">
        <f>'Aralık'!$F$7</f>
        <v/>
      </c>
      <c r="H33" s="14">
        <f>'Aralık'!$G$7</f>
        <v/>
      </c>
    </row>
    <row r="34" ht="20" customHeight="1">
      <c r="A34" s="15">
        <f>$A$22</f>
        <v/>
      </c>
      <c r="B34" s="16">
        <f>$B$22</f>
        <v/>
      </c>
      <c r="C34" s="15">
        <f>$C$22</f>
        <v/>
      </c>
      <c r="D34" s="15">
        <f>IF($B$22="","","YILLIK TOPLAM")</f>
        <v/>
      </c>
      <c r="E34" s="17">
        <f>IF($B$22="","",SUM(E22:E33))</f>
        <v/>
      </c>
      <c r="F34" s="17">
        <f>IF($B$22="","",SUM(F22:F33))</f>
        <v/>
      </c>
      <c r="G34" s="17">
        <f>IF($B$22="","",SUM(G22:G33))</f>
        <v/>
      </c>
      <c r="H34" s="17">
        <f>IF($B$22="","",SUM(H22:H33))</f>
        <v/>
      </c>
    </row>
    <row r="35">
      <c r="A35" s="9">
        <f>'Ocak'!$A$8</f>
        <v/>
      </c>
      <c r="B35" s="10">
        <f>'Ocak'!$B$8</f>
        <v/>
      </c>
      <c r="C35" s="9">
        <f>'Ocak'!$C$8</f>
        <v/>
      </c>
      <c r="D35" s="9">
        <f>IF('Ocak'!$B$8="","","Ocak")</f>
        <v/>
      </c>
      <c r="E35" s="11">
        <f>'Ocak'!$D$8</f>
        <v/>
      </c>
      <c r="F35" s="11">
        <f>'Ocak'!$E$8</f>
        <v/>
      </c>
      <c r="G35" s="11">
        <f>'Ocak'!$F$8</f>
        <v/>
      </c>
      <c r="H35" s="11">
        <f>'Ocak'!$G$8</f>
        <v/>
      </c>
    </row>
    <row r="36">
      <c r="A36" s="12">
        <f>'Şubat'!$A$8</f>
        <v/>
      </c>
      <c r="B36" s="13">
        <f>'Şubat'!$B$8</f>
        <v/>
      </c>
      <c r="C36" s="12">
        <f>'Şubat'!$C$8</f>
        <v/>
      </c>
      <c r="D36" s="12">
        <f>IF('Şubat'!$B$8="","","Şubat")</f>
        <v/>
      </c>
      <c r="E36" s="14">
        <f>'Şubat'!$D$8</f>
        <v/>
      </c>
      <c r="F36" s="14">
        <f>'Şubat'!$E$8</f>
        <v/>
      </c>
      <c r="G36" s="14">
        <f>'Şubat'!$F$8</f>
        <v/>
      </c>
      <c r="H36" s="14">
        <f>'Şubat'!$G$8</f>
        <v/>
      </c>
    </row>
    <row r="37">
      <c r="A37" s="9">
        <f>'Mart'!$A$8</f>
        <v/>
      </c>
      <c r="B37" s="10">
        <f>'Mart'!$B$8</f>
        <v/>
      </c>
      <c r="C37" s="9">
        <f>'Mart'!$C$8</f>
        <v/>
      </c>
      <c r="D37" s="9">
        <f>IF('Mart'!$B$8="","","Mart")</f>
        <v/>
      </c>
      <c r="E37" s="11">
        <f>'Mart'!$D$8</f>
        <v/>
      </c>
      <c r="F37" s="11">
        <f>'Mart'!$E$8</f>
        <v/>
      </c>
      <c r="G37" s="11">
        <f>'Mart'!$F$8</f>
        <v/>
      </c>
      <c r="H37" s="11">
        <f>'Mart'!$G$8</f>
        <v/>
      </c>
    </row>
    <row r="38">
      <c r="A38" s="12">
        <f>'Nisan'!$A$8</f>
        <v/>
      </c>
      <c r="B38" s="13">
        <f>'Nisan'!$B$8</f>
        <v/>
      </c>
      <c r="C38" s="12">
        <f>'Nisan'!$C$8</f>
        <v/>
      </c>
      <c r="D38" s="12">
        <f>IF('Nisan'!$B$8="","","Nisan")</f>
        <v/>
      </c>
      <c r="E38" s="14">
        <f>'Nisan'!$D$8</f>
        <v/>
      </c>
      <c r="F38" s="14">
        <f>'Nisan'!$E$8</f>
        <v/>
      </c>
      <c r="G38" s="14">
        <f>'Nisan'!$F$8</f>
        <v/>
      </c>
      <c r="H38" s="14">
        <f>'Nisan'!$G$8</f>
        <v/>
      </c>
    </row>
    <row r="39">
      <c r="A39" s="9">
        <f>'Mayıs'!$A$8</f>
        <v/>
      </c>
      <c r="B39" s="10">
        <f>'Mayıs'!$B$8</f>
        <v/>
      </c>
      <c r="C39" s="9">
        <f>'Mayıs'!$C$8</f>
        <v/>
      </c>
      <c r="D39" s="9">
        <f>IF('Mayıs'!$B$8="","","Mayıs")</f>
        <v/>
      </c>
      <c r="E39" s="11">
        <f>'Mayıs'!$D$8</f>
        <v/>
      </c>
      <c r="F39" s="11">
        <f>'Mayıs'!$E$8</f>
        <v/>
      </c>
      <c r="G39" s="11">
        <f>'Mayıs'!$F$8</f>
        <v/>
      </c>
      <c r="H39" s="11">
        <f>'Mayıs'!$G$8</f>
        <v/>
      </c>
    </row>
    <row r="40">
      <c r="A40" s="12">
        <f>'Haziran'!$A$8</f>
        <v/>
      </c>
      <c r="B40" s="13">
        <f>'Haziran'!$B$8</f>
        <v/>
      </c>
      <c r="C40" s="12">
        <f>'Haziran'!$C$8</f>
        <v/>
      </c>
      <c r="D40" s="12">
        <f>IF('Haziran'!$B$8="","","Haziran")</f>
        <v/>
      </c>
      <c r="E40" s="14">
        <f>'Haziran'!$D$8</f>
        <v/>
      </c>
      <c r="F40" s="14">
        <f>'Haziran'!$E$8</f>
        <v/>
      </c>
      <c r="G40" s="14">
        <f>'Haziran'!$F$8</f>
        <v/>
      </c>
      <c r="H40" s="14">
        <f>'Haziran'!$G$8</f>
        <v/>
      </c>
    </row>
    <row r="41">
      <c r="A41" s="9">
        <f>'Temmuz'!$A$8</f>
        <v/>
      </c>
      <c r="B41" s="10">
        <f>'Temmuz'!$B$8</f>
        <v/>
      </c>
      <c r="C41" s="9">
        <f>'Temmuz'!$C$8</f>
        <v/>
      </c>
      <c r="D41" s="9">
        <f>IF('Temmuz'!$B$8="","","Temmuz")</f>
        <v/>
      </c>
      <c r="E41" s="11">
        <f>'Temmuz'!$D$8</f>
        <v/>
      </c>
      <c r="F41" s="11">
        <f>'Temmuz'!$E$8</f>
        <v/>
      </c>
      <c r="G41" s="11">
        <f>'Temmuz'!$F$8</f>
        <v/>
      </c>
      <c r="H41" s="11">
        <f>'Temmuz'!$G$8</f>
        <v/>
      </c>
    </row>
    <row r="42">
      <c r="A42" s="12">
        <f>'Ağustos'!$A$8</f>
        <v/>
      </c>
      <c r="B42" s="13">
        <f>'Ağustos'!$B$8</f>
        <v/>
      </c>
      <c r="C42" s="12">
        <f>'Ağustos'!$C$8</f>
        <v/>
      </c>
      <c r="D42" s="12">
        <f>IF('Ağustos'!$B$8="","","Ağustos")</f>
        <v/>
      </c>
      <c r="E42" s="14">
        <f>'Ağustos'!$D$8</f>
        <v/>
      </c>
      <c r="F42" s="14">
        <f>'Ağustos'!$E$8</f>
        <v/>
      </c>
      <c r="G42" s="14">
        <f>'Ağustos'!$F$8</f>
        <v/>
      </c>
      <c r="H42" s="14">
        <f>'Ağustos'!$G$8</f>
        <v/>
      </c>
    </row>
    <row r="43">
      <c r="A43" s="9">
        <f>'Eylül'!$A$8</f>
        <v/>
      </c>
      <c r="B43" s="10">
        <f>'Eylül'!$B$8</f>
        <v/>
      </c>
      <c r="C43" s="9">
        <f>'Eylül'!$C$8</f>
        <v/>
      </c>
      <c r="D43" s="9">
        <f>IF('Eylül'!$B$8="","","Eylül")</f>
        <v/>
      </c>
      <c r="E43" s="11">
        <f>'Eylül'!$D$8</f>
        <v/>
      </c>
      <c r="F43" s="11">
        <f>'Eylül'!$E$8</f>
        <v/>
      </c>
      <c r="G43" s="11">
        <f>'Eylül'!$F$8</f>
        <v/>
      </c>
      <c r="H43" s="11">
        <f>'Eylül'!$G$8</f>
        <v/>
      </c>
    </row>
    <row r="44">
      <c r="A44" s="12">
        <f>'Ekim'!$A$8</f>
        <v/>
      </c>
      <c r="B44" s="13">
        <f>'Ekim'!$B$8</f>
        <v/>
      </c>
      <c r="C44" s="12">
        <f>'Ekim'!$C$8</f>
        <v/>
      </c>
      <c r="D44" s="12">
        <f>IF('Ekim'!$B$8="","","Ekim")</f>
        <v/>
      </c>
      <c r="E44" s="14">
        <f>'Ekim'!$D$8</f>
        <v/>
      </c>
      <c r="F44" s="14">
        <f>'Ekim'!$E$8</f>
        <v/>
      </c>
      <c r="G44" s="14">
        <f>'Ekim'!$F$8</f>
        <v/>
      </c>
      <c r="H44" s="14">
        <f>'Ekim'!$G$8</f>
        <v/>
      </c>
    </row>
    <row r="45">
      <c r="A45" s="9">
        <f>'Kasım'!$A$8</f>
        <v/>
      </c>
      <c r="B45" s="10">
        <f>'Kasım'!$B$8</f>
        <v/>
      </c>
      <c r="C45" s="9">
        <f>'Kasım'!$C$8</f>
        <v/>
      </c>
      <c r="D45" s="9">
        <f>IF('Kasım'!$B$8="","","Kasım")</f>
        <v/>
      </c>
      <c r="E45" s="11">
        <f>'Kasım'!$D$8</f>
        <v/>
      </c>
      <c r="F45" s="11">
        <f>'Kasım'!$E$8</f>
        <v/>
      </c>
      <c r="G45" s="11">
        <f>'Kasım'!$F$8</f>
        <v/>
      </c>
      <c r="H45" s="11">
        <f>'Kasım'!$G$8</f>
        <v/>
      </c>
    </row>
    <row r="46">
      <c r="A46" s="12">
        <f>'Aralık'!$A$8</f>
        <v/>
      </c>
      <c r="B46" s="13">
        <f>'Aralık'!$B$8</f>
        <v/>
      </c>
      <c r="C46" s="12">
        <f>'Aralık'!$C$8</f>
        <v/>
      </c>
      <c r="D46" s="12">
        <f>IF('Aralık'!$B$8="","","Aralık")</f>
        <v/>
      </c>
      <c r="E46" s="14">
        <f>'Aralık'!$D$8</f>
        <v/>
      </c>
      <c r="F46" s="14">
        <f>'Aralık'!$E$8</f>
        <v/>
      </c>
      <c r="G46" s="14">
        <f>'Aralık'!$F$8</f>
        <v/>
      </c>
      <c r="H46" s="14">
        <f>'Aralık'!$G$8</f>
        <v/>
      </c>
    </row>
    <row r="47" ht="20" customHeight="1">
      <c r="A47" s="15">
        <f>$A$35</f>
        <v/>
      </c>
      <c r="B47" s="16">
        <f>$B$35</f>
        <v/>
      </c>
      <c r="C47" s="15">
        <f>$C$35</f>
        <v/>
      </c>
      <c r="D47" s="15">
        <f>IF($B$35="","","YILLIK TOPLAM")</f>
        <v/>
      </c>
      <c r="E47" s="17">
        <f>IF($B$35="","",SUM(E35:E46))</f>
        <v/>
      </c>
      <c r="F47" s="17">
        <f>IF($B$35="","",SUM(F35:F46))</f>
        <v/>
      </c>
      <c r="G47" s="17">
        <f>IF($B$35="","",SUM(G35:G46))</f>
        <v/>
      </c>
      <c r="H47" s="17">
        <f>IF($B$35="","",SUM(H35:H46))</f>
        <v/>
      </c>
    </row>
    <row r="48">
      <c r="A48" s="9">
        <f>'Ocak'!$A$9</f>
        <v/>
      </c>
      <c r="B48" s="10">
        <f>'Ocak'!$B$9</f>
        <v/>
      </c>
      <c r="C48" s="9">
        <f>'Ocak'!$C$9</f>
        <v/>
      </c>
      <c r="D48" s="9">
        <f>IF('Ocak'!$B$9="","","Ocak")</f>
        <v/>
      </c>
      <c r="E48" s="11">
        <f>'Ocak'!$D$9</f>
        <v/>
      </c>
      <c r="F48" s="11">
        <f>'Ocak'!$E$9</f>
        <v/>
      </c>
      <c r="G48" s="11">
        <f>'Ocak'!$F$9</f>
        <v/>
      </c>
      <c r="H48" s="11">
        <f>'Ocak'!$G$9</f>
        <v/>
      </c>
    </row>
    <row r="49">
      <c r="A49" s="12">
        <f>'Şubat'!$A$9</f>
        <v/>
      </c>
      <c r="B49" s="13">
        <f>'Şubat'!$B$9</f>
        <v/>
      </c>
      <c r="C49" s="12">
        <f>'Şubat'!$C$9</f>
        <v/>
      </c>
      <c r="D49" s="12">
        <f>IF('Şubat'!$B$9="","","Şubat")</f>
        <v/>
      </c>
      <c r="E49" s="14">
        <f>'Şubat'!$D$9</f>
        <v/>
      </c>
      <c r="F49" s="14">
        <f>'Şubat'!$E$9</f>
        <v/>
      </c>
      <c r="G49" s="14">
        <f>'Şubat'!$F$9</f>
        <v/>
      </c>
      <c r="H49" s="14">
        <f>'Şubat'!$G$9</f>
        <v/>
      </c>
    </row>
    <row r="50">
      <c r="A50" s="9">
        <f>'Mart'!$A$9</f>
        <v/>
      </c>
      <c r="B50" s="10">
        <f>'Mart'!$B$9</f>
        <v/>
      </c>
      <c r="C50" s="9">
        <f>'Mart'!$C$9</f>
        <v/>
      </c>
      <c r="D50" s="9">
        <f>IF('Mart'!$B$9="","","Mart")</f>
        <v/>
      </c>
      <c r="E50" s="11">
        <f>'Mart'!$D$9</f>
        <v/>
      </c>
      <c r="F50" s="11">
        <f>'Mart'!$E$9</f>
        <v/>
      </c>
      <c r="G50" s="11">
        <f>'Mart'!$F$9</f>
        <v/>
      </c>
      <c r="H50" s="11">
        <f>'Mart'!$G$9</f>
        <v/>
      </c>
    </row>
    <row r="51">
      <c r="A51" s="12">
        <f>'Nisan'!$A$9</f>
        <v/>
      </c>
      <c r="B51" s="13">
        <f>'Nisan'!$B$9</f>
        <v/>
      </c>
      <c r="C51" s="12">
        <f>'Nisan'!$C$9</f>
        <v/>
      </c>
      <c r="D51" s="12">
        <f>IF('Nisan'!$B$9="","","Nisan")</f>
        <v/>
      </c>
      <c r="E51" s="14">
        <f>'Nisan'!$D$9</f>
        <v/>
      </c>
      <c r="F51" s="14">
        <f>'Nisan'!$E$9</f>
        <v/>
      </c>
      <c r="G51" s="14">
        <f>'Nisan'!$F$9</f>
        <v/>
      </c>
      <c r="H51" s="14">
        <f>'Nisan'!$G$9</f>
        <v/>
      </c>
    </row>
    <row r="52">
      <c r="A52" s="9">
        <f>'Mayıs'!$A$9</f>
        <v/>
      </c>
      <c r="B52" s="10">
        <f>'Mayıs'!$B$9</f>
        <v/>
      </c>
      <c r="C52" s="9">
        <f>'Mayıs'!$C$9</f>
        <v/>
      </c>
      <c r="D52" s="9">
        <f>IF('Mayıs'!$B$9="","","Mayıs")</f>
        <v/>
      </c>
      <c r="E52" s="11">
        <f>'Mayıs'!$D$9</f>
        <v/>
      </c>
      <c r="F52" s="11">
        <f>'Mayıs'!$E$9</f>
        <v/>
      </c>
      <c r="G52" s="11">
        <f>'Mayıs'!$F$9</f>
        <v/>
      </c>
      <c r="H52" s="11">
        <f>'Mayıs'!$G$9</f>
        <v/>
      </c>
    </row>
    <row r="53">
      <c r="A53" s="12">
        <f>'Haziran'!$A$9</f>
        <v/>
      </c>
      <c r="B53" s="13">
        <f>'Haziran'!$B$9</f>
        <v/>
      </c>
      <c r="C53" s="12">
        <f>'Haziran'!$C$9</f>
        <v/>
      </c>
      <c r="D53" s="12">
        <f>IF('Haziran'!$B$9="","","Haziran")</f>
        <v/>
      </c>
      <c r="E53" s="14">
        <f>'Haziran'!$D$9</f>
        <v/>
      </c>
      <c r="F53" s="14">
        <f>'Haziran'!$E$9</f>
        <v/>
      </c>
      <c r="G53" s="14">
        <f>'Haziran'!$F$9</f>
        <v/>
      </c>
      <c r="H53" s="14">
        <f>'Haziran'!$G$9</f>
        <v/>
      </c>
    </row>
    <row r="54">
      <c r="A54" s="9">
        <f>'Temmuz'!$A$9</f>
        <v/>
      </c>
      <c r="B54" s="10">
        <f>'Temmuz'!$B$9</f>
        <v/>
      </c>
      <c r="C54" s="9">
        <f>'Temmuz'!$C$9</f>
        <v/>
      </c>
      <c r="D54" s="9">
        <f>IF('Temmuz'!$B$9="","","Temmuz")</f>
        <v/>
      </c>
      <c r="E54" s="11">
        <f>'Temmuz'!$D$9</f>
        <v/>
      </c>
      <c r="F54" s="11">
        <f>'Temmuz'!$E$9</f>
        <v/>
      </c>
      <c r="G54" s="11">
        <f>'Temmuz'!$F$9</f>
        <v/>
      </c>
      <c r="H54" s="11">
        <f>'Temmuz'!$G$9</f>
        <v/>
      </c>
    </row>
    <row r="55">
      <c r="A55" s="12">
        <f>'Ağustos'!$A$9</f>
        <v/>
      </c>
      <c r="B55" s="13">
        <f>'Ağustos'!$B$9</f>
        <v/>
      </c>
      <c r="C55" s="12">
        <f>'Ağustos'!$C$9</f>
        <v/>
      </c>
      <c r="D55" s="12">
        <f>IF('Ağustos'!$B$9="","","Ağustos")</f>
        <v/>
      </c>
      <c r="E55" s="14">
        <f>'Ağustos'!$D$9</f>
        <v/>
      </c>
      <c r="F55" s="14">
        <f>'Ağustos'!$E$9</f>
        <v/>
      </c>
      <c r="G55" s="14">
        <f>'Ağustos'!$F$9</f>
        <v/>
      </c>
      <c r="H55" s="14">
        <f>'Ağustos'!$G$9</f>
        <v/>
      </c>
    </row>
    <row r="56">
      <c r="A56" s="9">
        <f>'Eylül'!$A$9</f>
        <v/>
      </c>
      <c r="B56" s="10">
        <f>'Eylül'!$B$9</f>
        <v/>
      </c>
      <c r="C56" s="9">
        <f>'Eylül'!$C$9</f>
        <v/>
      </c>
      <c r="D56" s="9">
        <f>IF('Eylül'!$B$9="","","Eylül")</f>
        <v/>
      </c>
      <c r="E56" s="11">
        <f>'Eylül'!$D$9</f>
        <v/>
      </c>
      <c r="F56" s="11">
        <f>'Eylül'!$E$9</f>
        <v/>
      </c>
      <c r="G56" s="11">
        <f>'Eylül'!$F$9</f>
        <v/>
      </c>
      <c r="H56" s="11">
        <f>'Eylül'!$G$9</f>
        <v/>
      </c>
    </row>
    <row r="57">
      <c r="A57" s="12">
        <f>'Ekim'!$A$9</f>
        <v/>
      </c>
      <c r="B57" s="13">
        <f>'Ekim'!$B$9</f>
        <v/>
      </c>
      <c r="C57" s="12">
        <f>'Ekim'!$C$9</f>
        <v/>
      </c>
      <c r="D57" s="12">
        <f>IF('Ekim'!$B$9="","","Ekim")</f>
        <v/>
      </c>
      <c r="E57" s="14">
        <f>'Ekim'!$D$9</f>
        <v/>
      </c>
      <c r="F57" s="14">
        <f>'Ekim'!$E$9</f>
        <v/>
      </c>
      <c r="G57" s="14">
        <f>'Ekim'!$F$9</f>
        <v/>
      </c>
      <c r="H57" s="14">
        <f>'Ekim'!$G$9</f>
        <v/>
      </c>
    </row>
    <row r="58">
      <c r="A58" s="9">
        <f>'Kasım'!$A$9</f>
        <v/>
      </c>
      <c r="B58" s="10">
        <f>'Kasım'!$B$9</f>
        <v/>
      </c>
      <c r="C58" s="9">
        <f>'Kasım'!$C$9</f>
        <v/>
      </c>
      <c r="D58" s="9">
        <f>IF('Kasım'!$B$9="","","Kasım")</f>
        <v/>
      </c>
      <c r="E58" s="11">
        <f>'Kasım'!$D$9</f>
        <v/>
      </c>
      <c r="F58" s="11">
        <f>'Kasım'!$E$9</f>
        <v/>
      </c>
      <c r="G58" s="11">
        <f>'Kasım'!$F$9</f>
        <v/>
      </c>
      <c r="H58" s="11">
        <f>'Kasım'!$G$9</f>
        <v/>
      </c>
    </row>
    <row r="59">
      <c r="A59" s="12">
        <f>'Aralık'!$A$9</f>
        <v/>
      </c>
      <c r="B59" s="13">
        <f>'Aralık'!$B$9</f>
        <v/>
      </c>
      <c r="C59" s="12">
        <f>'Aralık'!$C$9</f>
        <v/>
      </c>
      <c r="D59" s="12">
        <f>IF('Aralık'!$B$9="","","Aralık")</f>
        <v/>
      </c>
      <c r="E59" s="14">
        <f>'Aralık'!$D$9</f>
        <v/>
      </c>
      <c r="F59" s="14">
        <f>'Aralık'!$E$9</f>
        <v/>
      </c>
      <c r="G59" s="14">
        <f>'Aralık'!$F$9</f>
        <v/>
      </c>
      <c r="H59" s="14">
        <f>'Aralık'!$G$9</f>
        <v/>
      </c>
    </row>
    <row r="60" ht="20" customHeight="1">
      <c r="A60" s="15">
        <f>$A$48</f>
        <v/>
      </c>
      <c r="B60" s="16">
        <f>$B$48</f>
        <v/>
      </c>
      <c r="C60" s="15">
        <f>$C$48</f>
        <v/>
      </c>
      <c r="D60" s="15">
        <f>IF($B$48="","","YILLIK TOPLAM")</f>
        <v/>
      </c>
      <c r="E60" s="17">
        <f>IF($B$48="","",SUM(E48:E59))</f>
        <v/>
      </c>
      <c r="F60" s="17">
        <f>IF($B$48="","",SUM(F48:F59))</f>
        <v/>
      </c>
      <c r="G60" s="17">
        <f>IF($B$48="","",SUM(G48:G59))</f>
        <v/>
      </c>
      <c r="H60" s="17">
        <f>IF($B$48="","",SUM(H48:H59))</f>
        <v/>
      </c>
    </row>
    <row r="61">
      <c r="A61" s="9">
        <f>'Ocak'!$A$10</f>
        <v/>
      </c>
      <c r="B61" s="10">
        <f>'Ocak'!$B$10</f>
        <v/>
      </c>
      <c r="C61" s="9">
        <f>'Ocak'!$C$10</f>
        <v/>
      </c>
      <c r="D61" s="9">
        <f>IF('Ocak'!$B$10="","","Ocak")</f>
        <v/>
      </c>
      <c r="E61" s="11">
        <f>'Ocak'!$D$10</f>
        <v/>
      </c>
      <c r="F61" s="11">
        <f>'Ocak'!$E$10</f>
        <v/>
      </c>
      <c r="G61" s="11">
        <f>'Ocak'!$F$10</f>
        <v/>
      </c>
      <c r="H61" s="11">
        <f>'Ocak'!$G$10</f>
        <v/>
      </c>
    </row>
    <row r="62">
      <c r="A62" s="12">
        <f>'Şubat'!$A$10</f>
        <v/>
      </c>
      <c r="B62" s="13">
        <f>'Şubat'!$B$10</f>
        <v/>
      </c>
      <c r="C62" s="12">
        <f>'Şubat'!$C$10</f>
        <v/>
      </c>
      <c r="D62" s="12">
        <f>IF('Şubat'!$B$10="","","Şubat")</f>
        <v/>
      </c>
      <c r="E62" s="14">
        <f>'Şubat'!$D$10</f>
        <v/>
      </c>
      <c r="F62" s="14">
        <f>'Şubat'!$E$10</f>
        <v/>
      </c>
      <c r="G62" s="14">
        <f>'Şubat'!$F$10</f>
        <v/>
      </c>
      <c r="H62" s="14">
        <f>'Şubat'!$G$10</f>
        <v/>
      </c>
    </row>
    <row r="63">
      <c r="A63" s="9">
        <f>'Mart'!$A$10</f>
        <v/>
      </c>
      <c r="B63" s="10">
        <f>'Mart'!$B$10</f>
        <v/>
      </c>
      <c r="C63" s="9">
        <f>'Mart'!$C$10</f>
        <v/>
      </c>
      <c r="D63" s="9">
        <f>IF('Mart'!$B$10="","","Mart")</f>
        <v/>
      </c>
      <c r="E63" s="11">
        <f>'Mart'!$D$10</f>
        <v/>
      </c>
      <c r="F63" s="11">
        <f>'Mart'!$E$10</f>
        <v/>
      </c>
      <c r="G63" s="11">
        <f>'Mart'!$F$10</f>
        <v/>
      </c>
      <c r="H63" s="11">
        <f>'Mart'!$G$10</f>
        <v/>
      </c>
    </row>
    <row r="64">
      <c r="A64" s="12">
        <f>'Nisan'!$A$10</f>
        <v/>
      </c>
      <c r="B64" s="13">
        <f>'Nisan'!$B$10</f>
        <v/>
      </c>
      <c r="C64" s="12">
        <f>'Nisan'!$C$10</f>
        <v/>
      </c>
      <c r="D64" s="12">
        <f>IF('Nisan'!$B$10="","","Nisan")</f>
        <v/>
      </c>
      <c r="E64" s="14">
        <f>'Nisan'!$D$10</f>
        <v/>
      </c>
      <c r="F64" s="14">
        <f>'Nisan'!$E$10</f>
        <v/>
      </c>
      <c r="G64" s="14">
        <f>'Nisan'!$F$10</f>
        <v/>
      </c>
      <c r="H64" s="14">
        <f>'Nisan'!$G$10</f>
        <v/>
      </c>
    </row>
    <row r="65">
      <c r="A65" s="9">
        <f>'Mayıs'!$A$10</f>
        <v/>
      </c>
      <c r="B65" s="10">
        <f>'Mayıs'!$B$10</f>
        <v/>
      </c>
      <c r="C65" s="9">
        <f>'Mayıs'!$C$10</f>
        <v/>
      </c>
      <c r="D65" s="9">
        <f>IF('Mayıs'!$B$10="","","Mayıs")</f>
        <v/>
      </c>
      <c r="E65" s="11">
        <f>'Mayıs'!$D$10</f>
        <v/>
      </c>
      <c r="F65" s="11">
        <f>'Mayıs'!$E$10</f>
        <v/>
      </c>
      <c r="G65" s="11">
        <f>'Mayıs'!$F$10</f>
        <v/>
      </c>
      <c r="H65" s="11">
        <f>'Mayıs'!$G$10</f>
        <v/>
      </c>
    </row>
    <row r="66">
      <c r="A66" s="12">
        <f>'Haziran'!$A$10</f>
        <v/>
      </c>
      <c r="B66" s="13">
        <f>'Haziran'!$B$10</f>
        <v/>
      </c>
      <c r="C66" s="12">
        <f>'Haziran'!$C$10</f>
        <v/>
      </c>
      <c r="D66" s="12">
        <f>IF('Haziran'!$B$10="","","Haziran")</f>
        <v/>
      </c>
      <c r="E66" s="14">
        <f>'Haziran'!$D$10</f>
        <v/>
      </c>
      <c r="F66" s="14">
        <f>'Haziran'!$E$10</f>
        <v/>
      </c>
      <c r="G66" s="14">
        <f>'Haziran'!$F$10</f>
        <v/>
      </c>
      <c r="H66" s="14">
        <f>'Haziran'!$G$10</f>
        <v/>
      </c>
    </row>
    <row r="67">
      <c r="A67" s="9">
        <f>'Temmuz'!$A$10</f>
        <v/>
      </c>
      <c r="B67" s="10">
        <f>'Temmuz'!$B$10</f>
        <v/>
      </c>
      <c r="C67" s="9">
        <f>'Temmuz'!$C$10</f>
        <v/>
      </c>
      <c r="D67" s="9">
        <f>IF('Temmuz'!$B$10="","","Temmuz")</f>
        <v/>
      </c>
      <c r="E67" s="11">
        <f>'Temmuz'!$D$10</f>
        <v/>
      </c>
      <c r="F67" s="11">
        <f>'Temmuz'!$E$10</f>
        <v/>
      </c>
      <c r="G67" s="11">
        <f>'Temmuz'!$F$10</f>
        <v/>
      </c>
      <c r="H67" s="11">
        <f>'Temmuz'!$G$10</f>
        <v/>
      </c>
    </row>
    <row r="68">
      <c r="A68" s="12">
        <f>'Ağustos'!$A$10</f>
        <v/>
      </c>
      <c r="B68" s="13">
        <f>'Ağustos'!$B$10</f>
        <v/>
      </c>
      <c r="C68" s="12">
        <f>'Ağustos'!$C$10</f>
        <v/>
      </c>
      <c r="D68" s="12">
        <f>IF('Ağustos'!$B$10="","","Ağustos")</f>
        <v/>
      </c>
      <c r="E68" s="14">
        <f>'Ağustos'!$D$10</f>
        <v/>
      </c>
      <c r="F68" s="14">
        <f>'Ağustos'!$E$10</f>
        <v/>
      </c>
      <c r="G68" s="14">
        <f>'Ağustos'!$F$10</f>
        <v/>
      </c>
      <c r="H68" s="14">
        <f>'Ağustos'!$G$10</f>
        <v/>
      </c>
    </row>
    <row r="69">
      <c r="A69" s="9">
        <f>'Eylül'!$A$10</f>
        <v/>
      </c>
      <c r="B69" s="10">
        <f>'Eylül'!$B$10</f>
        <v/>
      </c>
      <c r="C69" s="9">
        <f>'Eylül'!$C$10</f>
        <v/>
      </c>
      <c r="D69" s="9">
        <f>IF('Eylül'!$B$10="","","Eylül")</f>
        <v/>
      </c>
      <c r="E69" s="11">
        <f>'Eylül'!$D$10</f>
        <v/>
      </c>
      <c r="F69" s="11">
        <f>'Eylül'!$E$10</f>
        <v/>
      </c>
      <c r="G69" s="11">
        <f>'Eylül'!$F$10</f>
        <v/>
      </c>
      <c r="H69" s="11">
        <f>'Eylül'!$G$10</f>
        <v/>
      </c>
    </row>
    <row r="70">
      <c r="A70" s="12">
        <f>'Ekim'!$A$10</f>
        <v/>
      </c>
      <c r="B70" s="13">
        <f>'Ekim'!$B$10</f>
        <v/>
      </c>
      <c r="C70" s="12">
        <f>'Ekim'!$C$10</f>
        <v/>
      </c>
      <c r="D70" s="12">
        <f>IF('Ekim'!$B$10="","","Ekim")</f>
        <v/>
      </c>
      <c r="E70" s="14">
        <f>'Ekim'!$D$10</f>
        <v/>
      </c>
      <c r="F70" s="14">
        <f>'Ekim'!$E$10</f>
        <v/>
      </c>
      <c r="G70" s="14">
        <f>'Ekim'!$F$10</f>
        <v/>
      </c>
      <c r="H70" s="14">
        <f>'Ekim'!$G$10</f>
        <v/>
      </c>
    </row>
    <row r="71">
      <c r="A71" s="9">
        <f>'Kasım'!$A$10</f>
        <v/>
      </c>
      <c r="B71" s="10">
        <f>'Kasım'!$B$10</f>
        <v/>
      </c>
      <c r="C71" s="9">
        <f>'Kasım'!$C$10</f>
        <v/>
      </c>
      <c r="D71" s="9">
        <f>IF('Kasım'!$B$10="","","Kasım")</f>
        <v/>
      </c>
      <c r="E71" s="11">
        <f>'Kasım'!$D$10</f>
        <v/>
      </c>
      <c r="F71" s="11">
        <f>'Kasım'!$E$10</f>
        <v/>
      </c>
      <c r="G71" s="11">
        <f>'Kasım'!$F$10</f>
        <v/>
      </c>
      <c r="H71" s="11">
        <f>'Kasım'!$G$10</f>
        <v/>
      </c>
    </row>
    <row r="72">
      <c r="A72" s="12">
        <f>'Aralık'!$A$10</f>
        <v/>
      </c>
      <c r="B72" s="13">
        <f>'Aralık'!$B$10</f>
        <v/>
      </c>
      <c r="C72" s="12">
        <f>'Aralık'!$C$10</f>
        <v/>
      </c>
      <c r="D72" s="12">
        <f>IF('Aralık'!$B$10="","","Aralık")</f>
        <v/>
      </c>
      <c r="E72" s="14">
        <f>'Aralık'!$D$10</f>
        <v/>
      </c>
      <c r="F72" s="14">
        <f>'Aralık'!$E$10</f>
        <v/>
      </c>
      <c r="G72" s="14">
        <f>'Aralık'!$F$10</f>
        <v/>
      </c>
      <c r="H72" s="14">
        <f>'Aralık'!$G$10</f>
        <v/>
      </c>
    </row>
    <row r="73" ht="20" customHeight="1">
      <c r="A73" s="15">
        <f>$A$61</f>
        <v/>
      </c>
      <c r="B73" s="16">
        <f>$B$61</f>
        <v/>
      </c>
      <c r="C73" s="15">
        <f>$C$61</f>
        <v/>
      </c>
      <c r="D73" s="15">
        <f>IF($B$61="","","YILLIK TOPLAM")</f>
        <v/>
      </c>
      <c r="E73" s="17">
        <f>IF($B$61="","",SUM(E61:E72))</f>
        <v/>
      </c>
      <c r="F73" s="17">
        <f>IF($B$61="","",SUM(F61:F72))</f>
        <v/>
      </c>
      <c r="G73" s="17">
        <f>IF($B$61="","",SUM(G61:G72))</f>
        <v/>
      </c>
      <c r="H73" s="17">
        <f>IF($B$61="","",SUM(H61:H72))</f>
        <v/>
      </c>
    </row>
    <row r="74">
      <c r="A74" s="9">
        <f>'Ocak'!$A$11</f>
        <v/>
      </c>
      <c r="B74" s="10">
        <f>'Ocak'!$B$11</f>
        <v/>
      </c>
      <c r="C74" s="9">
        <f>'Ocak'!$C$11</f>
        <v/>
      </c>
      <c r="D74" s="9">
        <f>IF('Ocak'!$B$11="","","Ocak")</f>
        <v/>
      </c>
      <c r="E74" s="11">
        <f>'Ocak'!$D$11</f>
        <v/>
      </c>
      <c r="F74" s="11">
        <f>'Ocak'!$E$11</f>
        <v/>
      </c>
      <c r="G74" s="11">
        <f>'Ocak'!$F$11</f>
        <v/>
      </c>
      <c r="H74" s="11">
        <f>'Ocak'!$G$11</f>
        <v/>
      </c>
    </row>
    <row r="75">
      <c r="A75" s="12">
        <f>'Şubat'!$A$11</f>
        <v/>
      </c>
      <c r="B75" s="13">
        <f>'Şubat'!$B$11</f>
        <v/>
      </c>
      <c r="C75" s="12">
        <f>'Şubat'!$C$11</f>
        <v/>
      </c>
      <c r="D75" s="12">
        <f>IF('Şubat'!$B$11="","","Şubat")</f>
        <v/>
      </c>
      <c r="E75" s="14">
        <f>'Şubat'!$D$11</f>
        <v/>
      </c>
      <c r="F75" s="14">
        <f>'Şubat'!$E$11</f>
        <v/>
      </c>
      <c r="G75" s="14">
        <f>'Şubat'!$F$11</f>
        <v/>
      </c>
      <c r="H75" s="14">
        <f>'Şubat'!$G$11</f>
        <v/>
      </c>
    </row>
    <row r="76">
      <c r="A76" s="9">
        <f>'Mart'!$A$11</f>
        <v/>
      </c>
      <c r="B76" s="10">
        <f>'Mart'!$B$11</f>
        <v/>
      </c>
      <c r="C76" s="9">
        <f>'Mart'!$C$11</f>
        <v/>
      </c>
      <c r="D76" s="9">
        <f>IF('Mart'!$B$11="","","Mart")</f>
        <v/>
      </c>
      <c r="E76" s="11">
        <f>'Mart'!$D$11</f>
        <v/>
      </c>
      <c r="F76" s="11">
        <f>'Mart'!$E$11</f>
        <v/>
      </c>
      <c r="G76" s="11">
        <f>'Mart'!$F$11</f>
        <v/>
      </c>
      <c r="H76" s="11">
        <f>'Mart'!$G$11</f>
        <v/>
      </c>
    </row>
    <row r="77">
      <c r="A77" s="12">
        <f>'Nisan'!$A$11</f>
        <v/>
      </c>
      <c r="B77" s="13">
        <f>'Nisan'!$B$11</f>
        <v/>
      </c>
      <c r="C77" s="12">
        <f>'Nisan'!$C$11</f>
        <v/>
      </c>
      <c r="D77" s="12">
        <f>IF('Nisan'!$B$11="","","Nisan")</f>
        <v/>
      </c>
      <c r="E77" s="14">
        <f>'Nisan'!$D$11</f>
        <v/>
      </c>
      <c r="F77" s="14">
        <f>'Nisan'!$E$11</f>
        <v/>
      </c>
      <c r="G77" s="14">
        <f>'Nisan'!$F$11</f>
        <v/>
      </c>
      <c r="H77" s="14">
        <f>'Nisan'!$G$11</f>
        <v/>
      </c>
    </row>
    <row r="78">
      <c r="A78" s="9">
        <f>'Mayıs'!$A$11</f>
        <v/>
      </c>
      <c r="B78" s="10">
        <f>'Mayıs'!$B$11</f>
        <v/>
      </c>
      <c r="C78" s="9">
        <f>'Mayıs'!$C$11</f>
        <v/>
      </c>
      <c r="D78" s="9">
        <f>IF('Mayıs'!$B$11="","","Mayıs")</f>
        <v/>
      </c>
      <c r="E78" s="11">
        <f>'Mayıs'!$D$11</f>
        <v/>
      </c>
      <c r="F78" s="11">
        <f>'Mayıs'!$E$11</f>
        <v/>
      </c>
      <c r="G78" s="11">
        <f>'Mayıs'!$F$11</f>
        <v/>
      </c>
      <c r="H78" s="11">
        <f>'Mayıs'!$G$11</f>
        <v/>
      </c>
    </row>
    <row r="79">
      <c r="A79" s="12">
        <f>'Haziran'!$A$11</f>
        <v/>
      </c>
      <c r="B79" s="13">
        <f>'Haziran'!$B$11</f>
        <v/>
      </c>
      <c r="C79" s="12">
        <f>'Haziran'!$C$11</f>
        <v/>
      </c>
      <c r="D79" s="12">
        <f>IF('Haziran'!$B$11="","","Haziran")</f>
        <v/>
      </c>
      <c r="E79" s="14">
        <f>'Haziran'!$D$11</f>
        <v/>
      </c>
      <c r="F79" s="14">
        <f>'Haziran'!$E$11</f>
        <v/>
      </c>
      <c r="G79" s="14">
        <f>'Haziran'!$F$11</f>
        <v/>
      </c>
      <c r="H79" s="14">
        <f>'Haziran'!$G$11</f>
        <v/>
      </c>
    </row>
    <row r="80">
      <c r="A80" s="9">
        <f>'Temmuz'!$A$11</f>
        <v/>
      </c>
      <c r="B80" s="10">
        <f>'Temmuz'!$B$11</f>
        <v/>
      </c>
      <c r="C80" s="9">
        <f>'Temmuz'!$C$11</f>
        <v/>
      </c>
      <c r="D80" s="9">
        <f>IF('Temmuz'!$B$11="","","Temmuz")</f>
        <v/>
      </c>
      <c r="E80" s="11">
        <f>'Temmuz'!$D$11</f>
        <v/>
      </c>
      <c r="F80" s="11">
        <f>'Temmuz'!$E$11</f>
        <v/>
      </c>
      <c r="G80" s="11">
        <f>'Temmuz'!$F$11</f>
        <v/>
      </c>
      <c r="H80" s="11">
        <f>'Temmuz'!$G$11</f>
        <v/>
      </c>
    </row>
    <row r="81">
      <c r="A81" s="12">
        <f>'Ağustos'!$A$11</f>
        <v/>
      </c>
      <c r="B81" s="13">
        <f>'Ağustos'!$B$11</f>
        <v/>
      </c>
      <c r="C81" s="12">
        <f>'Ağustos'!$C$11</f>
        <v/>
      </c>
      <c r="D81" s="12">
        <f>IF('Ağustos'!$B$11="","","Ağustos")</f>
        <v/>
      </c>
      <c r="E81" s="14">
        <f>'Ağustos'!$D$11</f>
        <v/>
      </c>
      <c r="F81" s="14">
        <f>'Ağustos'!$E$11</f>
        <v/>
      </c>
      <c r="G81" s="14">
        <f>'Ağustos'!$F$11</f>
        <v/>
      </c>
      <c r="H81" s="14">
        <f>'Ağustos'!$G$11</f>
        <v/>
      </c>
    </row>
    <row r="82">
      <c r="A82" s="9">
        <f>'Eylül'!$A$11</f>
        <v/>
      </c>
      <c r="B82" s="10">
        <f>'Eylül'!$B$11</f>
        <v/>
      </c>
      <c r="C82" s="9">
        <f>'Eylül'!$C$11</f>
        <v/>
      </c>
      <c r="D82" s="9">
        <f>IF('Eylül'!$B$11="","","Eylül")</f>
        <v/>
      </c>
      <c r="E82" s="11">
        <f>'Eylül'!$D$11</f>
        <v/>
      </c>
      <c r="F82" s="11">
        <f>'Eylül'!$E$11</f>
        <v/>
      </c>
      <c r="G82" s="11">
        <f>'Eylül'!$F$11</f>
        <v/>
      </c>
      <c r="H82" s="11">
        <f>'Eylül'!$G$11</f>
        <v/>
      </c>
    </row>
    <row r="83">
      <c r="A83" s="12">
        <f>'Ekim'!$A$11</f>
        <v/>
      </c>
      <c r="B83" s="13">
        <f>'Ekim'!$B$11</f>
        <v/>
      </c>
      <c r="C83" s="12">
        <f>'Ekim'!$C$11</f>
        <v/>
      </c>
      <c r="D83" s="12">
        <f>IF('Ekim'!$B$11="","","Ekim")</f>
        <v/>
      </c>
      <c r="E83" s="14">
        <f>'Ekim'!$D$11</f>
        <v/>
      </c>
      <c r="F83" s="14">
        <f>'Ekim'!$E$11</f>
        <v/>
      </c>
      <c r="G83" s="14">
        <f>'Ekim'!$F$11</f>
        <v/>
      </c>
      <c r="H83" s="14">
        <f>'Ekim'!$G$11</f>
        <v/>
      </c>
    </row>
    <row r="84">
      <c r="A84" s="9">
        <f>'Kasım'!$A$11</f>
        <v/>
      </c>
      <c r="B84" s="10">
        <f>'Kasım'!$B$11</f>
        <v/>
      </c>
      <c r="C84" s="9">
        <f>'Kasım'!$C$11</f>
        <v/>
      </c>
      <c r="D84" s="9">
        <f>IF('Kasım'!$B$11="","","Kasım")</f>
        <v/>
      </c>
      <c r="E84" s="11">
        <f>'Kasım'!$D$11</f>
        <v/>
      </c>
      <c r="F84" s="11">
        <f>'Kasım'!$E$11</f>
        <v/>
      </c>
      <c r="G84" s="11">
        <f>'Kasım'!$F$11</f>
        <v/>
      </c>
      <c r="H84" s="11">
        <f>'Kasım'!$G$11</f>
        <v/>
      </c>
    </row>
    <row r="85">
      <c r="A85" s="12">
        <f>'Aralık'!$A$11</f>
        <v/>
      </c>
      <c r="B85" s="13">
        <f>'Aralık'!$B$11</f>
        <v/>
      </c>
      <c r="C85" s="12">
        <f>'Aralık'!$C$11</f>
        <v/>
      </c>
      <c r="D85" s="12">
        <f>IF('Aralık'!$B$11="","","Aralık")</f>
        <v/>
      </c>
      <c r="E85" s="14">
        <f>'Aralık'!$D$11</f>
        <v/>
      </c>
      <c r="F85" s="14">
        <f>'Aralık'!$E$11</f>
        <v/>
      </c>
      <c r="G85" s="14">
        <f>'Aralık'!$F$11</f>
        <v/>
      </c>
      <c r="H85" s="14">
        <f>'Aralık'!$G$11</f>
        <v/>
      </c>
    </row>
    <row r="86" ht="20" customHeight="1">
      <c r="A86" s="15">
        <f>$A$74</f>
        <v/>
      </c>
      <c r="B86" s="16">
        <f>$B$74</f>
        <v/>
      </c>
      <c r="C86" s="15">
        <f>$C$74</f>
        <v/>
      </c>
      <c r="D86" s="15">
        <f>IF($B$74="","","YILLIK TOPLAM")</f>
        <v/>
      </c>
      <c r="E86" s="17">
        <f>IF($B$74="","",SUM(E74:E85))</f>
        <v/>
      </c>
      <c r="F86" s="17">
        <f>IF($B$74="","",SUM(F74:F85))</f>
        <v/>
      </c>
      <c r="G86" s="17">
        <f>IF($B$74="","",SUM(G74:G85))</f>
        <v/>
      </c>
      <c r="H86" s="17">
        <f>IF($B$74="","",SUM(H74:H85))</f>
        <v/>
      </c>
    </row>
    <row r="87">
      <c r="A87" s="9">
        <f>'Ocak'!$A$12</f>
        <v/>
      </c>
      <c r="B87" s="10">
        <f>'Ocak'!$B$12</f>
        <v/>
      </c>
      <c r="C87" s="9">
        <f>'Ocak'!$C$12</f>
        <v/>
      </c>
      <c r="D87" s="9">
        <f>IF('Ocak'!$B$12="","","Ocak")</f>
        <v/>
      </c>
      <c r="E87" s="11">
        <f>'Ocak'!$D$12</f>
        <v/>
      </c>
      <c r="F87" s="11">
        <f>'Ocak'!$E$12</f>
        <v/>
      </c>
      <c r="G87" s="11">
        <f>'Ocak'!$F$12</f>
        <v/>
      </c>
      <c r="H87" s="11">
        <f>'Ocak'!$G$12</f>
        <v/>
      </c>
    </row>
    <row r="88">
      <c r="A88" s="12">
        <f>'Şubat'!$A$12</f>
        <v/>
      </c>
      <c r="B88" s="13">
        <f>'Şubat'!$B$12</f>
        <v/>
      </c>
      <c r="C88" s="12">
        <f>'Şubat'!$C$12</f>
        <v/>
      </c>
      <c r="D88" s="12">
        <f>IF('Şubat'!$B$12="","","Şubat")</f>
        <v/>
      </c>
      <c r="E88" s="14">
        <f>'Şubat'!$D$12</f>
        <v/>
      </c>
      <c r="F88" s="14">
        <f>'Şubat'!$E$12</f>
        <v/>
      </c>
      <c r="G88" s="14">
        <f>'Şubat'!$F$12</f>
        <v/>
      </c>
      <c r="H88" s="14">
        <f>'Şubat'!$G$12</f>
        <v/>
      </c>
    </row>
    <row r="89">
      <c r="A89" s="9">
        <f>'Mart'!$A$12</f>
        <v/>
      </c>
      <c r="B89" s="10">
        <f>'Mart'!$B$12</f>
        <v/>
      </c>
      <c r="C89" s="9">
        <f>'Mart'!$C$12</f>
        <v/>
      </c>
      <c r="D89" s="9">
        <f>IF('Mart'!$B$12="","","Mart")</f>
        <v/>
      </c>
      <c r="E89" s="11">
        <f>'Mart'!$D$12</f>
        <v/>
      </c>
      <c r="F89" s="11">
        <f>'Mart'!$E$12</f>
        <v/>
      </c>
      <c r="G89" s="11">
        <f>'Mart'!$F$12</f>
        <v/>
      </c>
      <c r="H89" s="11">
        <f>'Mart'!$G$12</f>
        <v/>
      </c>
    </row>
    <row r="90">
      <c r="A90" s="12">
        <f>'Nisan'!$A$12</f>
        <v/>
      </c>
      <c r="B90" s="13">
        <f>'Nisan'!$B$12</f>
        <v/>
      </c>
      <c r="C90" s="12">
        <f>'Nisan'!$C$12</f>
        <v/>
      </c>
      <c r="D90" s="12">
        <f>IF('Nisan'!$B$12="","","Nisan")</f>
        <v/>
      </c>
      <c r="E90" s="14">
        <f>'Nisan'!$D$12</f>
        <v/>
      </c>
      <c r="F90" s="14">
        <f>'Nisan'!$E$12</f>
        <v/>
      </c>
      <c r="G90" s="14">
        <f>'Nisan'!$F$12</f>
        <v/>
      </c>
      <c r="H90" s="14">
        <f>'Nisan'!$G$12</f>
        <v/>
      </c>
    </row>
    <row r="91">
      <c r="A91" s="9">
        <f>'Mayıs'!$A$12</f>
        <v/>
      </c>
      <c r="B91" s="10">
        <f>'Mayıs'!$B$12</f>
        <v/>
      </c>
      <c r="C91" s="9">
        <f>'Mayıs'!$C$12</f>
        <v/>
      </c>
      <c r="D91" s="9">
        <f>IF('Mayıs'!$B$12="","","Mayıs")</f>
        <v/>
      </c>
      <c r="E91" s="11">
        <f>'Mayıs'!$D$12</f>
        <v/>
      </c>
      <c r="F91" s="11">
        <f>'Mayıs'!$E$12</f>
        <v/>
      </c>
      <c r="G91" s="11">
        <f>'Mayıs'!$F$12</f>
        <v/>
      </c>
      <c r="H91" s="11">
        <f>'Mayıs'!$G$12</f>
        <v/>
      </c>
    </row>
    <row r="92">
      <c r="A92" s="12">
        <f>'Haziran'!$A$12</f>
        <v/>
      </c>
      <c r="B92" s="13">
        <f>'Haziran'!$B$12</f>
        <v/>
      </c>
      <c r="C92" s="12">
        <f>'Haziran'!$C$12</f>
        <v/>
      </c>
      <c r="D92" s="12">
        <f>IF('Haziran'!$B$12="","","Haziran")</f>
        <v/>
      </c>
      <c r="E92" s="14">
        <f>'Haziran'!$D$12</f>
        <v/>
      </c>
      <c r="F92" s="14">
        <f>'Haziran'!$E$12</f>
        <v/>
      </c>
      <c r="G92" s="14">
        <f>'Haziran'!$F$12</f>
        <v/>
      </c>
      <c r="H92" s="14">
        <f>'Haziran'!$G$12</f>
        <v/>
      </c>
    </row>
    <row r="93">
      <c r="A93" s="9">
        <f>'Temmuz'!$A$12</f>
        <v/>
      </c>
      <c r="B93" s="10">
        <f>'Temmuz'!$B$12</f>
        <v/>
      </c>
      <c r="C93" s="9">
        <f>'Temmuz'!$C$12</f>
        <v/>
      </c>
      <c r="D93" s="9">
        <f>IF('Temmuz'!$B$12="","","Temmuz")</f>
        <v/>
      </c>
      <c r="E93" s="11">
        <f>'Temmuz'!$D$12</f>
        <v/>
      </c>
      <c r="F93" s="11">
        <f>'Temmuz'!$E$12</f>
        <v/>
      </c>
      <c r="G93" s="11">
        <f>'Temmuz'!$F$12</f>
        <v/>
      </c>
      <c r="H93" s="11">
        <f>'Temmuz'!$G$12</f>
        <v/>
      </c>
    </row>
    <row r="94">
      <c r="A94" s="12">
        <f>'Ağustos'!$A$12</f>
        <v/>
      </c>
      <c r="B94" s="13">
        <f>'Ağustos'!$B$12</f>
        <v/>
      </c>
      <c r="C94" s="12">
        <f>'Ağustos'!$C$12</f>
        <v/>
      </c>
      <c r="D94" s="12">
        <f>IF('Ağustos'!$B$12="","","Ağustos")</f>
        <v/>
      </c>
      <c r="E94" s="14">
        <f>'Ağustos'!$D$12</f>
        <v/>
      </c>
      <c r="F94" s="14">
        <f>'Ağustos'!$E$12</f>
        <v/>
      </c>
      <c r="G94" s="14">
        <f>'Ağustos'!$F$12</f>
        <v/>
      </c>
      <c r="H94" s="14">
        <f>'Ağustos'!$G$12</f>
        <v/>
      </c>
    </row>
    <row r="95">
      <c r="A95" s="9">
        <f>'Eylül'!$A$12</f>
        <v/>
      </c>
      <c r="B95" s="10">
        <f>'Eylül'!$B$12</f>
        <v/>
      </c>
      <c r="C95" s="9">
        <f>'Eylül'!$C$12</f>
        <v/>
      </c>
      <c r="D95" s="9">
        <f>IF('Eylül'!$B$12="","","Eylül")</f>
        <v/>
      </c>
      <c r="E95" s="11">
        <f>'Eylül'!$D$12</f>
        <v/>
      </c>
      <c r="F95" s="11">
        <f>'Eylül'!$E$12</f>
        <v/>
      </c>
      <c r="G95" s="11">
        <f>'Eylül'!$F$12</f>
        <v/>
      </c>
      <c r="H95" s="11">
        <f>'Eylül'!$G$12</f>
        <v/>
      </c>
    </row>
    <row r="96">
      <c r="A96" s="12">
        <f>'Ekim'!$A$12</f>
        <v/>
      </c>
      <c r="B96" s="13">
        <f>'Ekim'!$B$12</f>
        <v/>
      </c>
      <c r="C96" s="12">
        <f>'Ekim'!$C$12</f>
        <v/>
      </c>
      <c r="D96" s="12">
        <f>IF('Ekim'!$B$12="","","Ekim")</f>
        <v/>
      </c>
      <c r="E96" s="14">
        <f>'Ekim'!$D$12</f>
        <v/>
      </c>
      <c r="F96" s="14">
        <f>'Ekim'!$E$12</f>
        <v/>
      </c>
      <c r="G96" s="14">
        <f>'Ekim'!$F$12</f>
        <v/>
      </c>
      <c r="H96" s="14">
        <f>'Ekim'!$G$12</f>
        <v/>
      </c>
    </row>
    <row r="97">
      <c r="A97" s="9">
        <f>'Kasım'!$A$12</f>
        <v/>
      </c>
      <c r="B97" s="10">
        <f>'Kasım'!$B$12</f>
        <v/>
      </c>
      <c r="C97" s="9">
        <f>'Kasım'!$C$12</f>
        <v/>
      </c>
      <c r="D97" s="9">
        <f>IF('Kasım'!$B$12="","","Kasım")</f>
        <v/>
      </c>
      <c r="E97" s="11">
        <f>'Kasım'!$D$12</f>
        <v/>
      </c>
      <c r="F97" s="11">
        <f>'Kasım'!$E$12</f>
        <v/>
      </c>
      <c r="G97" s="11">
        <f>'Kasım'!$F$12</f>
        <v/>
      </c>
      <c r="H97" s="11">
        <f>'Kasım'!$G$12</f>
        <v/>
      </c>
    </row>
    <row r="98">
      <c r="A98" s="12">
        <f>'Aralık'!$A$12</f>
        <v/>
      </c>
      <c r="B98" s="13">
        <f>'Aralık'!$B$12</f>
        <v/>
      </c>
      <c r="C98" s="12">
        <f>'Aralık'!$C$12</f>
        <v/>
      </c>
      <c r="D98" s="12">
        <f>IF('Aralık'!$B$12="","","Aralık")</f>
        <v/>
      </c>
      <c r="E98" s="14">
        <f>'Aralık'!$D$12</f>
        <v/>
      </c>
      <c r="F98" s="14">
        <f>'Aralık'!$E$12</f>
        <v/>
      </c>
      <c r="G98" s="14">
        <f>'Aralık'!$F$12</f>
        <v/>
      </c>
      <c r="H98" s="14">
        <f>'Aralık'!$G$12</f>
        <v/>
      </c>
    </row>
    <row r="99" ht="20" customHeight="1">
      <c r="A99" s="15">
        <f>$A$87</f>
        <v/>
      </c>
      <c r="B99" s="16">
        <f>$B$87</f>
        <v/>
      </c>
      <c r="C99" s="15">
        <f>$C$87</f>
        <v/>
      </c>
      <c r="D99" s="15">
        <f>IF($B$87="","","YILLIK TOPLAM")</f>
        <v/>
      </c>
      <c r="E99" s="17">
        <f>IF($B$87="","",SUM(E87:E98))</f>
        <v/>
      </c>
      <c r="F99" s="17">
        <f>IF($B$87="","",SUM(F87:F98))</f>
        <v/>
      </c>
      <c r="G99" s="17">
        <f>IF($B$87="","",SUM(G87:G98))</f>
        <v/>
      </c>
      <c r="H99" s="17">
        <f>IF($B$87="","",SUM(H87:H98))</f>
        <v/>
      </c>
    </row>
    <row r="100">
      <c r="A100" s="9">
        <f>'Ocak'!$A$13</f>
        <v/>
      </c>
      <c r="B100" s="10">
        <f>'Ocak'!$B$13</f>
        <v/>
      </c>
      <c r="C100" s="9">
        <f>'Ocak'!$C$13</f>
        <v/>
      </c>
      <c r="D100" s="9">
        <f>IF('Ocak'!$B$13="","","Ocak")</f>
        <v/>
      </c>
      <c r="E100" s="11">
        <f>'Ocak'!$D$13</f>
        <v/>
      </c>
      <c r="F100" s="11">
        <f>'Ocak'!$E$13</f>
        <v/>
      </c>
      <c r="G100" s="11">
        <f>'Ocak'!$F$13</f>
        <v/>
      </c>
      <c r="H100" s="11">
        <f>'Ocak'!$G$13</f>
        <v/>
      </c>
    </row>
    <row r="101">
      <c r="A101" s="12">
        <f>'Şubat'!$A$13</f>
        <v/>
      </c>
      <c r="B101" s="13">
        <f>'Şubat'!$B$13</f>
        <v/>
      </c>
      <c r="C101" s="12">
        <f>'Şubat'!$C$13</f>
        <v/>
      </c>
      <c r="D101" s="12">
        <f>IF('Şubat'!$B$13="","","Şubat")</f>
        <v/>
      </c>
      <c r="E101" s="14">
        <f>'Şubat'!$D$13</f>
        <v/>
      </c>
      <c r="F101" s="14">
        <f>'Şubat'!$E$13</f>
        <v/>
      </c>
      <c r="G101" s="14">
        <f>'Şubat'!$F$13</f>
        <v/>
      </c>
      <c r="H101" s="14">
        <f>'Şubat'!$G$13</f>
        <v/>
      </c>
    </row>
    <row r="102">
      <c r="A102" s="9">
        <f>'Mart'!$A$13</f>
        <v/>
      </c>
      <c r="B102" s="10">
        <f>'Mart'!$B$13</f>
        <v/>
      </c>
      <c r="C102" s="9">
        <f>'Mart'!$C$13</f>
        <v/>
      </c>
      <c r="D102" s="9">
        <f>IF('Mart'!$B$13="","","Mart")</f>
        <v/>
      </c>
      <c r="E102" s="11">
        <f>'Mart'!$D$13</f>
        <v/>
      </c>
      <c r="F102" s="11">
        <f>'Mart'!$E$13</f>
        <v/>
      </c>
      <c r="G102" s="11">
        <f>'Mart'!$F$13</f>
        <v/>
      </c>
      <c r="H102" s="11">
        <f>'Mart'!$G$13</f>
        <v/>
      </c>
    </row>
    <row r="103">
      <c r="A103" s="12">
        <f>'Nisan'!$A$13</f>
        <v/>
      </c>
      <c r="B103" s="13">
        <f>'Nisan'!$B$13</f>
        <v/>
      </c>
      <c r="C103" s="12">
        <f>'Nisan'!$C$13</f>
        <v/>
      </c>
      <c r="D103" s="12">
        <f>IF('Nisan'!$B$13="","","Nisan")</f>
        <v/>
      </c>
      <c r="E103" s="14">
        <f>'Nisan'!$D$13</f>
        <v/>
      </c>
      <c r="F103" s="14">
        <f>'Nisan'!$E$13</f>
        <v/>
      </c>
      <c r="G103" s="14">
        <f>'Nisan'!$F$13</f>
        <v/>
      </c>
      <c r="H103" s="14">
        <f>'Nisan'!$G$13</f>
        <v/>
      </c>
    </row>
    <row r="104">
      <c r="A104" s="9">
        <f>'Mayıs'!$A$13</f>
        <v/>
      </c>
      <c r="B104" s="10">
        <f>'Mayıs'!$B$13</f>
        <v/>
      </c>
      <c r="C104" s="9">
        <f>'Mayıs'!$C$13</f>
        <v/>
      </c>
      <c r="D104" s="9">
        <f>IF('Mayıs'!$B$13="","","Mayıs")</f>
        <v/>
      </c>
      <c r="E104" s="11">
        <f>'Mayıs'!$D$13</f>
        <v/>
      </c>
      <c r="F104" s="11">
        <f>'Mayıs'!$E$13</f>
        <v/>
      </c>
      <c r="G104" s="11">
        <f>'Mayıs'!$F$13</f>
        <v/>
      </c>
      <c r="H104" s="11">
        <f>'Mayıs'!$G$13</f>
        <v/>
      </c>
    </row>
    <row r="105">
      <c r="A105" s="12">
        <f>'Haziran'!$A$13</f>
        <v/>
      </c>
      <c r="B105" s="13">
        <f>'Haziran'!$B$13</f>
        <v/>
      </c>
      <c r="C105" s="12">
        <f>'Haziran'!$C$13</f>
        <v/>
      </c>
      <c r="D105" s="12">
        <f>IF('Haziran'!$B$13="","","Haziran")</f>
        <v/>
      </c>
      <c r="E105" s="14">
        <f>'Haziran'!$D$13</f>
        <v/>
      </c>
      <c r="F105" s="14">
        <f>'Haziran'!$E$13</f>
        <v/>
      </c>
      <c r="G105" s="14">
        <f>'Haziran'!$F$13</f>
        <v/>
      </c>
      <c r="H105" s="14">
        <f>'Haziran'!$G$13</f>
        <v/>
      </c>
    </row>
    <row r="106">
      <c r="A106" s="9">
        <f>'Temmuz'!$A$13</f>
        <v/>
      </c>
      <c r="B106" s="10">
        <f>'Temmuz'!$B$13</f>
        <v/>
      </c>
      <c r="C106" s="9">
        <f>'Temmuz'!$C$13</f>
        <v/>
      </c>
      <c r="D106" s="9">
        <f>IF('Temmuz'!$B$13="","","Temmuz")</f>
        <v/>
      </c>
      <c r="E106" s="11">
        <f>'Temmuz'!$D$13</f>
        <v/>
      </c>
      <c r="F106" s="11">
        <f>'Temmuz'!$E$13</f>
        <v/>
      </c>
      <c r="G106" s="11">
        <f>'Temmuz'!$F$13</f>
        <v/>
      </c>
      <c r="H106" s="11">
        <f>'Temmuz'!$G$13</f>
        <v/>
      </c>
    </row>
    <row r="107">
      <c r="A107" s="12">
        <f>'Ağustos'!$A$13</f>
        <v/>
      </c>
      <c r="B107" s="13">
        <f>'Ağustos'!$B$13</f>
        <v/>
      </c>
      <c r="C107" s="12">
        <f>'Ağustos'!$C$13</f>
        <v/>
      </c>
      <c r="D107" s="12">
        <f>IF('Ağustos'!$B$13="","","Ağustos")</f>
        <v/>
      </c>
      <c r="E107" s="14">
        <f>'Ağustos'!$D$13</f>
        <v/>
      </c>
      <c r="F107" s="14">
        <f>'Ağustos'!$E$13</f>
        <v/>
      </c>
      <c r="G107" s="14">
        <f>'Ağustos'!$F$13</f>
        <v/>
      </c>
      <c r="H107" s="14">
        <f>'Ağustos'!$G$13</f>
        <v/>
      </c>
    </row>
    <row r="108">
      <c r="A108" s="9">
        <f>'Eylül'!$A$13</f>
        <v/>
      </c>
      <c r="B108" s="10">
        <f>'Eylül'!$B$13</f>
        <v/>
      </c>
      <c r="C108" s="9">
        <f>'Eylül'!$C$13</f>
        <v/>
      </c>
      <c r="D108" s="9">
        <f>IF('Eylül'!$B$13="","","Eylül")</f>
        <v/>
      </c>
      <c r="E108" s="11">
        <f>'Eylül'!$D$13</f>
        <v/>
      </c>
      <c r="F108" s="11">
        <f>'Eylül'!$E$13</f>
        <v/>
      </c>
      <c r="G108" s="11">
        <f>'Eylül'!$F$13</f>
        <v/>
      </c>
      <c r="H108" s="11">
        <f>'Eylül'!$G$13</f>
        <v/>
      </c>
    </row>
    <row r="109">
      <c r="A109" s="12">
        <f>'Ekim'!$A$13</f>
        <v/>
      </c>
      <c r="B109" s="13">
        <f>'Ekim'!$B$13</f>
        <v/>
      </c>
      <c r="C109" s="12">
        <f>'Ekim'!$C$13</f>
        <v/>
      </c>
      <c r="D109" s="12">
        <f>IF('Ekim'!$B$13="","","Ekim")</f>
        <v/>
      </c>
      <c r="E109" s="14">
        <f>'Ekim'!$D$13</f>
        <v/>
      </c>
      <c r="F109" s="14">
        <f>'Ekim'!$E$13</f>
        <v/>
      </c>
      <c r="G109" s="14">
        <f>'Ekim'!$F$13</f>
        <v/>
      </c>
      <c r="H109" s="14">
        <f>'Ekim'!$G$13</f>
        <v/>
      </c>
    </row>
    <row r="110">
      <c r="A110" s="9">
        <f>'Kasım'!$A$13</f>
        <v/>
      </c>
      <c r="B110" s="10">
        <f>'Kasım'!$B$13</f>
        <v/>
      </c>
      <c r="C110" s="9">
        <f>'Kasım'!$C$13</f>
        <v/>
      </c>
      <c r="D110" s="9">
        <f>IF('Kasım'!$B$13="","","Kasım")</f>
        <v/>
      </c>
      <c r="E110" s="11">
        <f>'Kasım'!$D$13</f>
        <v/>
      </c>
      <c r="F110" s="11">
        <f>'Kasım'!$E$13</f>
        <v/>
      </c>
      <c r="G110" s="11">
        <f>'Kasım'!$F$13</f>
        <v/>
      </c>
      <c r="H110" s="11">
        <f>'Kasım'!$G$13</f>
        <v/>
      </c>
    </row>
    <row r="111">
      <c r="A111" s="12">
        <f>'Aralık'!$A$13</f>
        <v/>
      </c>
      <c r="B111" s="13">
        <f>'Aralık'!$B$13</f>
        <v/>
      </c>
      <c r="C111" s="12">
        <f>'Aralık'!$C$13</f>
        <v/>
      </c>
      <c r="D111" s="12">
        <f>IF('Aralık'!$B$13="","","Aralık")</f>
        <v/>
      </c>
      <c r="E111" s="14">
        <f>'Aralık'!$D$13</f>
        <v/>
      </c>
      <c r="F111" s="14">
        <f>'Aralık'!$E$13</f>
        <v/>
      </c>
      <c r="G111" s="14">
        <f>'Aralık'!$F$13</f>
        <v/>
      </c>
      <c r="H111" s="14">
        <f>'Aralık'!$G$13</f>
        <v/>
      </c>
    </row>
    <row r="112" ht="20" customHeight="1">
      <c r="A112" s="15">
        <f>$A$100</f>
        <v/>
      </c>
      <c r="B112" s="16">
        <f>$B$100</f>
        <v/>
      </c>
      <c r="C112" s="15">
        <f>$C$100</f>
        <v/>
      </c>
      <c r="D112" s="15">
        <f>IF($B$100="","","YILLIK TOPLAM")</f>
        <v/>
      </c>
      <c r="E112" s="17">
        <f>IF($B$100="","",SUM(E100:E111))</f>
        <v/>
      </c>
      <c r="F112" s="17">
        <f>IF($B$100="","",SUM(F100:F111))</f>
        <v/>
      </c>
      <c r="G112" s="17">
        <f>IF($B$100="","",SUM(G100:G111))</f>
        <v/>
      </c>
      <c r="H112" s="17">
        <f>IF($B$100="","",SUM(H100:H111))</f>
        <v/>
      </c>
    </row>
    <row r="113">
      <c r="A113" s="9">
        <f>'Ocak'!$A$14</f>
        <v/>
      </c>
      <c r="B113" s="10">
        <f>'Ocak'!$B$14</f>
        <v/>
      </c>
      <c r="C113" s="9">
        <f>'Ocak'!$C$14</f>
        <v/>
      </c>
      <c r="D113" s="9">
        <f>IF('Ocak'!$B$14="","","Ocak")</f>
        <v/>
      </c>
      <c r="E113" s="11">
        <f>'Ocak'!$D$14</f>
        <v/>
      </c>
      <c r="F113" s="11">
        <f>'Ocak'!$E$14</f>
        <v/>
      </c>
      <c r="G113" s="11">
        <f>'Ocak'!$F$14</f>
        <v/>
      </c>
      <c r="H113" s="11">
        <f>'Ocak'!$G$14</f>
        <v/>
      </c>
    </row>
    <row r="114">
      <c r="A114" s="12">
        <f>'Şubat'!$A$14</f>
        <v/>
      </c>
      <c r="B114" s="13">
        <f>'Şubat'!$B$14</f>
        <v/>
      </c>
      <c r="C114" s="12">
        <f>'Şubat'!$C$14</f>
        <v/>
      </c>
      <c r="D114" s="12">
        <f>IF('Şubat'!$B$14="","","Şubat")</f>
        <v/>
      </c>
      <c r="E114" s="14">
        <f>'Şubat'!$D$14</f>
        <v/>
      </c>
      <c r="F114" s="14">
        <f>'Şubat'!$E$14</f>
        <v/>
      </c>
      <c r="G114" s="14">
        <f>'Şubat'!$F$14</f>
        <v/>
      </c>
      <c r="H114" s="14">
        <f>'Şubat'!$G$14</f>
        <v/>
      </c>
    </row>
    <row r="115">
      <c r="A115" s="9">
        <f>'Mart'!$A$14</f>
        <v/>
      </c>
      <c r="B115" s="10">
        <f>'Mart'!$B$14</f>
        <v/>
      </c>
      <c r="C115" s="9">
        <f>'Mart'!$C$14</f>
        <v/>
      </c>
      <c r="D115" s="9">
        <f>IF('Mart'!$B$14="","","Mart")</f>
        <v/>
      </c>
      <c r="E115" s="11">
        <f>'Mart'!$D$14</f>
        <v/>
      </c>
      <c r="F115" s="11">
        <f>'Mart'!$E$14</f>
        <v/>
      </c>
      <c r="G115" s="11">
        <f>'Mart'!$F$14</f>
        <v/>
      </c>
      <c r="H115" s="11">
        <f>'Mart'!$G$14</f>
        <v/>
      </c>
    </row>
    <row r="116">
      <c r="A116" s="12">
        <f>'Nisan'!$A$14</f>
        <v/>
      </c>
      <c r="B116" s="13">
        <f>'Nisan'!$B$14</f>
        <v/>
      </c>
      <c r="C116" s="12">
        <f>'Nisan'!$C$14</f>
        <v/>
      </c>
      <c r="D116" s="12">
        <f>IF('Nisan'!$B$14="","","Nisan")</f>
        <v/>
      </c>
      <c r="E116" s="14">
        <f>'Nisan'!$D$14</f>
        <v/>
      </c>
      <c r="F116" s="14">
        <f>'Nisan'!$E$14</f>
        <v/>
      </c>
      <c r="G116" s="14">
        <f>'Nisan'!$F$14</f>
        <v/>
      </c>
      <c r="H116" s="14">
        <f>'Nisan'!$G$14</f>
        <v/>
      </c>
    </row>
    <row r="117">
      <c r="A117" s="9">
        <f>'Mayıs'!$A$14</f>
        <v/>
      </c>
      <c r="B117" s="10">
        <f>'Mayıs'!$B$14</f>
        <v/>
      </c>
      <c r="C117" s="9">
        <f>'Mayıs'!$C$14</f>
        <v/>
      </c>
      <c r="D117" s="9">
        <f>IF('Mayıs'!$B$14="","","Mayıs")</f>
        <v/>
      </c>
      <c r="E117" s="11">
        <f>'Mayıs'!$D$14</f>
        <v/>
      </c>
      <c r="F117" s="11">
        <f>'Mayıs'!$E$14</f>
        <v/>
      </c>
      <c r="G117" s="11">
        <f>'Mayıs'!$F$14</f>
        <v/>
      </c>
      <c r="H117" s="11">
        <f>'Mayıs'!$G$14</f>
        <v/>
      </c>
    </row>
    <row r="118">
      <c r="A118" s="12">
        <f>'Haziran'!$A$14</f>
        <v/>
      </c>
      <c r="B118" s="13">
        <f>'Haziran'!$B$14</f>
        <v/>
      </c>
      <c r="C118" s="12">
        <f>'Haziran'!$C$14</f>
        <v/>
      </c>
      <c r="D118" s="12">
        <f>IF('Haziran'!$B$14="","","Haziran")</f>
        <v/>
      </c>
      <c r="E118" s="14">
        <f>'Haziran'!$D$14</f>
        <v/>
      </c>
      <c r="F118" s="14">
        <f>'Haziran'!$E$14</f>
        <v/>
      </c>
      <c r="G118" s="14">
        <f>'Haziran'!$F$14</f>
        <v/>
      </c>
      <c r="H118" s="14">
        <f>'Haziran'!$G$14</f>
        <v/>
      </c>
    </row>
    <row r="119">
      <c r="A119" s="9">
        <f>'Temmuz'!$A$14</f>
        <v/>
      </c>
      <c r="B119" s="10">
        <f>'Temmuz'!$B$14</f>
        <v/>
      </c>
      <c r="C119" s="9">
        <f>'Temmuz'!$C$14</f>
        <v/>
      </c>
      <c r="D119" s="9">
        <f>IF('Temmuz'!$B$14="","","Temmuz")</f>
        <v/>
      </c>
      <c r="E119" s="11">
        <f>'Temmuz'!$D$14</f>
        <v/>
      </c>
      <c r="F119" s="11">
        <f>'Temmuz'!$E$14</f>
        <v/>
      </c>
      <c r="G119" s="11">
        <f>'Temmuz'!$F$14</f>
        <v/>
      </c>
      <c r="H119" s="11">
        <f>'Temmuz'!$G$14</f>
        <v/>
      </c>
    </row>
    <row r="120">
      <c r="A120" s="12">
        <f>'Ağustos'!$A$14</f>
        <v/>
      </c>
      <c r="B120" s="13">
        <f>'Ağustos'!$B$14</f>
        <v/>
      </c>
      <c r="C120" s="12">
        <f>'Ağustos'!$C$14</f>
        <v/>
      </c>
      <c r="D120" s="12">
        <f>IF('Ağustos'!$B$14="","","Ağustos")</f>
        <v/>
      </c>
      <c r="E120" s="14">
        <f>'Ağustos'!$D$14</f>
        <v/>
      </c>
      <c r="F120" s="14">
        <f>'Ağustos'!$E$14</f>
        <v/>
      </c>
      <c r="G120" s="14">
        <f>'Ağustos'!$F$14</f>
        <v/>
      </c>
      <c r="H120" s="14">
        <f>'Ağustos'!$G$14</f>
        <v/>
      </c>
    </row>
    <row r="121">
      <c r="A121" s="9">
        <f>'Eylül'!$A$14</f>
        <v/>
      </c>
      <c r="B121" s="10">
        <f>'Eylül'!$B$14</f>
        <v/>
      </c>
      <c r="C121" s="9">
        <f>'Eylül'!$C$14</f>
        <v/>
      </c>
      <c r="D121" s="9">
        <f>IF('Eylül'!$B$14="","","Eylül")</f>
        <v/>
      </c>
      <c r="E121" s="11">
        <f>'Eylül'!$D$14</f>
        <v/>
      </c>
      <c r="F121" s="11">
        <f>'Eylül'!$E$14</f>
        <v/>
      </c>
      <c r="G121" s="11">
        <f>'Eylül'!$F$14</f>
        <v/>
      </c>
      <c r="H121" s="11">
        <f>'Eylül'!$G$14</f>
        <v/>
      </c>
    </row>
    <row r="122">
      <c r="A122" s="12">
        <f>'Ekim'!$A$14</f>
        <v/>
      </c>
      <c r="B122" s="13">
        <f>'Ekim'!$B$14</f>
        <v/>
      </c>
      <c r="C122" s="12">
        <f>'Ekim'!$C$14</f>
        <v/>
      </c>
      <c r="D122" s="12">
        <f>IF('Ekim'!$B$14="","","Ekim")</f>
        <v/>
      </c>
      <c r="E122" s="14">
        <f>'Ekim'!$D$14</f>
        <v/>
      </c>
      <c r="F122" s="14">
        <f>'Ekim'!$E$14</f>
        <v/>
      </c>
      <c r="G122" s="14">
        <f>'Ekim'!$F$14</f>
        <v/>
      </c>
      <c r="H122" s="14">
        <f>'Ekim'!$G$14</f>
        <v/>
      </c>
    </row>
    <row r="123">
      <c r="A123" s="9">
        <f>'Kasım'!$A$14</f>
        <v/>
      </c>
      <c r="B123" s="10">
        <f>'Kasım'!$B$14</f>
        <v/>
      </c>
      <c r="C123" s="9">
        <f>'Kasım'!$C$14</f>
        <v/>
      </c>
      <c r="D123" s="9">
        <f>IF('Kasım'!$B$14="","","Kasım")</f>
        <v/>
      </c>
      <c r="E123" s="11">
        <f>'Kasım'!$D$14</f>
        <v/>
      </c>
      <c r="F123" s="11">
        <f>'Kasım'!$E$14</f>
        <v/>
      </c>
      <c r="G123" s="11">
        <f>'Kasım'!$F$14</f>
        <v/>
      </c>
      <c r="H123" s="11">
        <f>'Kasım'!$G$14</f>
        <v/>
      </c>
    </row>
    <row r="124">
      <c r="A124" s="12">
        <f>'Aralık'!$A$14</f>
        <v/>
      </c>
      <c r="B124" s="13">
        <f>'Aralık'!$B$14</f>
        <v/>
      </c>
      <c r="C124" s="12">
        <f>'Aralık'!$C$14</f>
        <v/>
      </c>
      <c r="D124" s="12">
        <f>IF('Aralık'!$B$14="","","Aralık")</f>
        <v/>
      </c>
      <c r="E124" s="14">
        <f>'Aralık'!$D$14</f>
        <v/>
      </c>
      <c r="F124" s="14">
        <f>'Aralık'!$E$14</f>
        <v/>
      </c>
      <c r="G124" s="14">
        <f>'Aralık'!$F$14</f>
        <v/>
      </c>
      <c r="H124" s="14">
        <f>'Aralık'!$G$14</f>
        <v/>
      </c>
    </row>
    <row r="125" ht="20" customHeight="1">
      <c r="A125" s="15">
        <f>$A$113</f>
        <v/>
      </c>
      <c r="B125" s="16">
        <f>$B$113</f>
        <v/>
      </c>
      <c r="C125" s="15">
        <f>$C$113</f>
        <v/>
      </c>
      <c r="D125" s="15">
        <f>IF($B$113="","","YILLIK TOPLAM")</f>
        <v/>
      </c>
      <c r="E125" s="17">
        <f>IF($B$113="","",SUM(E113:E124))</f>
        <v/>
      </c>
      <c r="F125" s="17">
        <f>IF($B$113="","",SUM(F113:F124))</f>
        <v/>
      </c>
      <c r="G125" s="17">
        <f>IF($B$113="","",SUM(G113:G124))</f>
        <v/>
      </c>
      <c r="H125" s="17">
        <f>IF($B$113="","",SUM(H113:H124))</f>
        <v/>
      </c>
    </row>
    <row r="126">
      <c r="A126" s="9">
        <f>'Ocak'!$A$15</f>
        <v/>
      </c>
      <c r="B126" s="10">
        <f>'Ocak'!$B$15</f>
        <v/>
      </c>
      <c r="C126" s="9">
        <f>'Ocak'!$C$15</f>
        <v/>
      </c>
      <c r="D126" s="9">
        <f>IF('Ocak'!$B$15="","","Ocak")</f>
        <v/>
      </c>
      <c r="E126" s="11">
        <f>'Ocak'!$D$15</f>
        <v/>
      </c>
      <c r="F126" s="11">
        <f>'Ocak'!$E$15</f>
        <v/>
      </c>
      <c r="G126" s="11">
        <f>'Ocak'!$F$15</f>
        <v/>
      </c>
      <c r="H126" s="11">
        <f>'Ocak'!$G$15</f>
        <v/>
      </c>
    </row>
    <row r="127">
      <c r="A127" s="12">
        <f>'Şubat'!$A$15</f>
        <v/>
      </c>
      <c r="B127" s="13">
        <f>'Şubat'!$B$15</f>
        <v/>
      </c>
      <c r="C127" s="12">
        <f>'Şubat'!$C$15</f>
        <v/>
      </c>
      <c r="D127" s="12">
        <f>IF('Şubat'!$B$15="","","Şubat")</f>
        <v/>
      </c>
      <c r="E127" s="14">
        <f>'Şubat'!$D$15</f>
        <v/>
      </c>
      <c r="F127" s="14">
        <f>'Şubat'!$E$15</f>
        <v/>
      </c>
      <c r="G127" s="14">
        <f>'Şubat'!$F$15</f>
        <v/>
      </c>
      <c r="H127" s="14">
        <f>'Şubat'!$G$15</f>
        <v/>
      </c>
    </row>
    <row r="128">
      <c r="A128" s="9">
        <f>'Mart'!$A$15</f>
        <v/>
      </c>
      <c r="B128" s="10">
        <f>'Mart'!$B$15</f>
        <v/>
      </c>
      <c r="C128" s="9">
        <f>'Mart'!$C$15</f>
        <v/>
      </c>
      <c r="D128" s="9">
        <f>IF('Mart'!$B$15="","","Mart")</f>
        <v/>
      </c>
      <c r="E128" s="11">
        <f>'Mart'!$D$15</f>
        <v/>
      </c>
      <c r="F128" s="11">
        <f>'Mart'!$E$15</f>
        <v/>
      </c>
      <c r="G128" s="11">
        <f>'Mart'!$F$15</f>
        <v/>
      </c>
      <c r="H128" s="11">
        <f>'Mart'!$G$15</f>
        <v/>
      </c>
    </row>
    <row r="129">
      <c r="A129" s="12">
        <f>'Nisan'!$A$15</f>
        <v/>
      </c>
      <c r="B129" s="13">
        <f>'Nisan'!$B$15</f>
        <v/>
      </c>
      <c r="C129" s="12">
        <f>'Nisan'!$C$15</f>
        <v/>
      </c>
      <c r="D129" s="12">
        <f>IF('Nisan'!$B$15="","","Nisan")</f>
        <v/>
      </c>
      <c r="E129" s="14">
        <f>'Nisan'!$D$15</f>
        <v/>
      </c>
      <c r="F129" s="14">
        <f>'Nisan'!$E$15</f>
        <v/>
      </c>
      <c r="G129" s="14">
        <f>'Nisan'!$F$15</f>
        <v/>
      </c>
      <c r="H129" s="14">
        <f>'Nisan'!$G$15</f>
        <v/>
      </c>
    </row>
    <row r="130">
      <c r="A130" s="9">
        <f>'Mayıs'!$A$15</f>
        <v/>
      </c>
      <c r="B130" s="10">
        <f>'Mayıs'!$B$15</f>
        <v/>
      </c>
      <c r="C130" s="9">
        <f>'Mayıs'!$C$15</f>
        <v/>
      </c>
      <c r="D130" s="9">
        <f>IF('Mayıs'!$B$15="","","Mayıs")</f>
        <v/>
      </c>
      <c r="E130" s="11">
        <f>'Mayıs'!$D$15</f>
        <v/>
      </c>
      <c r="F130" s="11">
        <f>'Mayıs'!$E$15</f>
        <v/>
      </c>
      <c r="G130" s="11">
        <f>'Mayıs'!$F$15</f>
        <v/>
      </c>
      <c r="H130" s="11">
        <f>'Mayıs'!$G$15</f>
        <v/>
      </c>
    </row>
    <row r="131">
      <c r="A131" s="12">
        <f>'Haziran'!$A$15</f>
        <v/>
      </c>
      <c r="B131" s="13">
        <f>'Haziran'!$B$15</f>
        <v/>
      </c>
      <c r="C131" s="12">
        <f>'Haziran'!$C$15</f>
        <v/>
      </c>
      <c r="D131" s="12">
        <f>IF('Haziran'!$B$15="","","Haziran")</f>
        <v/>
      </c>
      <c r="E131" s="14">
        <f>'Haziran'!$D$15</f>
        <v/>
      </c>
      <c r="F131" s="14">
        <f>'Haziran'!$E$15</f>
        <v/>
      </c>
      <c r="G131" s="14">
        <f>'Haziran'!$F$15</f>
        <v/>
      </c>
      <c r="H131" s="14">
        <f>'Haziran'!$G$15</f>
        <v/>
      </c>
    </row>
    <row r="132">
      <c r="A132" s="9">
        <f>'Temmuz'!$A$15</f>
        <v/>
      </c>
      <c r="B132" s="10">
        <f>'Temmuz'!$B$15</f>
        <v/>
      </c>
      <c r="C132" s="9">
        <f>'Temmuz'!$C$15</f>
        <v/>
      </c>
      <c r="D132" s="9">
        <f>IF('Temmuz'!$B$15="","","Temmuz")</f>
        <v/>
      </c>
      <c r="E132" s="11">
        <f>'Temmuz'!$D$15</f>
        <v/>
      </c>
      <c r="F132" s="11">
        <f>'Temmuz'!$E$15</f>
        <v/>
      </c>
      <c r="G132" s="11">
        <f>'Temmuz'!$F$15</f>
        <v/>
      </c>
      <c r="H132" s="11">
        <f>'Temmuz'!$G$15</f>
        <v/>
      </c>
    </row>
    <row r="133">
      <c r="A133" s="12">
        <f>'Ağustos'!$A$15</f>
        <v/>
      </c>
      <c r="B133" s="13">
        <f>'Ağustos'!$B$15</f>
        <v/>
      </c>
      <c r="C133" s="12">
        <f>'Ağustos'!$C$15</f>
        <v/>
      </c>
      <c r="D133" s="12">
        <f>IF('Ağustos'!$B$15="","","Ağustos")</f>
        <v/>
      </c>
      <c r="E133" s="14">
        <f>'Ağustos'!$D$15</f>
        <v/>
      </c>
      <c r="F133" s="14">
        <f>'Ağustos'!$E$15</f>
        <v/>
      </c>
      <c r="G133" s="14">
        <f>'Ağustos'!$F$15</f>
        <v/>
      </c>
      <c r="H133" s="14">
        <f>'Ağustos'!$G$15</f>
        <v/>
      </c>
    </row>
    <row r="134">
      <c r="A134" s="9">
        <f>'Eylül'!$A$15</f>
        <v/>
      </c>
      <c r="B134" s="10">
        <f>'Eylül'!$B$15</f>
        <v/>
      </c>
      <c r="C134" s="9">
        <f>'Eylül'!$C$15</f>
        <v/>
      </c>
      <c r="D134" s="9">
        <f>IF('Eylül'!$B$15="","","Eylül")</f>
        <v/>
      </c>
      <c r="E134" s="11">
        <f>'Eylül'!$D$15</f>
        <v/>
      </c>
      <c r="F134" s="11">
        <f>'Eylül'!$E$15</f>
        <v/>
      </c>
      <c r="G134" s="11">
        <f>'Eylül'!$F$15</f>
        <v/>
      </c>
      <c r="H134" s="11">
        <f>'Eylül'!$G$15</f>
        <v/>
      </c>
    </row>
    <row r="135">
      <c r="A135" s="12">
        <f>'Ekim'!$A$15</f>
        <v/>
      </c>
      <c r="B135" s="13">
        <f>'Ekim'!$B$15</f>
        <v/>
      </c>
      <c r="C135" s="12">
        <f>'Ekim'!$C$15</f>
        <v/>
      </c>
      <c r="D135" s="12">
        <f>IF('Ekim'!$B$15="","","Ekim")</f>
        <v/>
      </c>
      <c r="E135" s="14">
        <f>'Ekim'!$D$15</f>
        <v/>
      </c>
      <c r="F135" s="14">
        <f>'Ekim'!$E$15</f>
        <v/>
      </c>
      <c r="G135" s="14">
        <f>'Ekim'!$F$15</f>
        <v/>
      </c>
      <c r="H135" s="14">
        <f>'Ekim'!$G$15</f>
        <v/>
      </c>
    </row>
    <row r="136">
      <c r="A136" s="9">
        <f>'Kasım'!$A$15</f>
        <v/>
      </c>
      <c r="B136" s="10">
        <f>'Kasım'!$B$15</f>
        <v/>
      </c>
      <c r="C136" s="9">
        <f>'Kasım'!$C$15</f>
        <v/>
      </c>
      <c r="D136" s="9">
        <f>IF('Kasım'!$B$15="","","Kasım")</f>
        <v/>
      </c>
      <c r="E136" s="11">
        <f>'Kasım'!$D$15</f>
        <v/>
      </c>
      <c r="F136" s="11">
        <f>'Kasım'!$E$15</f>
        <v/>
      </c>
      <c r="G136" s="11">
        <f>'Kasım'!$F$15</f>
        <v/>
      </c>
      <c r="H136" s="11">
        <f>'Kasım'!$G$15</f>
        <v/>
      </c>
    </row>
    <row r="137">
      <c r="A137" s="12">
        <f>'Aralık'!$A$15</f>
        <v/>
      </c>
      <c r="B137" s="13">
        <f>'Aralık'!$B$15</f>
        <v/>
      </c>
      <c r="C137" s="12">
        <f>'Aralık'!$C$15</f>
        <v/>
      </c>
      <c r="D137" s="12">
        <f>IF('Aralık'!$B$15="","","Aralık")</f>
        <v/>
      </c>
      <c r="E137" s="14">
        <f>'Aralık'!$D$15</f>
        <v/>
      </c>
      <c r="F137" s="14">
        <f>'Aralık'!$E$15</f>
        <v/>
      </c>
      <c r="G137" s="14">
        <f>'Aralık'!$F$15</f>
        <v/>
      </c>
      <c r="H137" s="14">
        <f>'Aralık'!$G$15</f>
        <v/>
      </c>
    </row>
    <row r="138" ht="20" customHeight="1">
      <c r="A138" s="15">
        <f>$A$126</f>
        <v/>
      </c>
      <c r="B138" s="16">
        <f>$B$126</f>
        <v/>
      </c>
      <c r="C138" s="15">
        <f>$C$126</f>
        <v/>
      </c>
      <c r="D138" s="15">
        <f>IF($B$126="","","YILLIK TOPLAM")</f>
        <v/>
      </c>
      <c r="E138" s="17">
        <f>IF($B$126="","",SUM(E126:E137))</f>
        <v/>
      </c>
      <c r="F138" s="17">
        <f>IF($B$126="","",SUM(F126:F137))</f>
        <v/>
      </c>
      <c r="G138" s="17">
        <f>IF($B$126="","",SUM(G126:G137))</f>
        <v/>
      </c>
      <c r="H138" s="17">
        <f>IF($B$126="","",SUM(H126:H137))</f>
        <v/>
      </c>
    </row>
    <row r="139">
      <c r="A139" s="9">
        <f>'Ocak'!$A$16</f>
        <v/>
      </c>
      <c r="B139" s="10">
        <f>'Ocak'!$B$16</f>
        <v/>
      </c>
      <c r="C139" s="9">
        <f>'Ocak'!$C$16</f>
        <v/>
      </c>
      <c r="D139" s="9">
        <f>IF('Ocak'!$B$16="","","Ocak")</f>
        <v/>
      </c>
      <c r="E139" s="11">
        <f>'Ocak'!$D$16</f>
        <v/>
      </c>
      <c r="F139" s="11">
        <f>'Ocak'!$E$16</f>
        <v/>
      </c>
      <c r="G139" s="11">
        <f>'Ocak'!$F$16</f>
        <v/>
      </c>
      <c r="H139" s="11">
        <f>'Ocak'!$G$16</f>
        <v/>
      </c>
    </row>
    <row r="140">
      <c r="A140" s="12">
        <f>'Şubat'!$A$16</f>
        <v/>
      </c>
      <c r="B140" s="13">
        <f>'Şubat'!$B$16</f>
        <v/>
      </c>
      <c r="C140" s="12">
        <f>'Şubat'!$C$16</f>
        <v/>
      </c>
      <c r="D140" s="12">
        <f>IF('Şubat'!$B$16="","","Şubat")</f>
        <v/>
      </c>
      <c r="E140" s="14">
        <f>'Şubat'!$D$16</f>
        <v/>
      </c>
      <c r="F140" s="14">
        <f>'Şubat'!$E$16</f>
        <v/>
      </c>
      <c r="G140" s="14">
        <f>'Şubat'!$F$16</f>
        <v/>
      </c>
      <c r="H140" s="14">
        <f>'Şubat'!$G$16</f>
        <v/>
      </c>
    </row>
    <row r="141">
      <c r="A141" s="9">
        <f>'Mart'!$A$16</f>
        <v/>
      </c>
      <c r="B141" s="10">
        <f>'Mart'!$B$16</f>
        <v/>
      </c>
      <c r="C141" s="9">
        <f>'Mart'!$C$16</f>
        <v/>
      </c>
      <c r="D141" s="9">
        <f>IF('Mart'!$B$16="","","Mart")</f>
        <v/>
      </c>
      <c r="E141" s="11">
        <f>'Mart'!$D$16</f>
        <v/>
      </c>
      <c r="F141" s="11">
        <f>'Mart'!$E$16</f>
        <v/>
      </c>
      <c r="G141" s="11">
        <f>'Mart'!$F$16</f>
        <v/>
      </c>
      <c r="H141" s="11">
        <f>'Mart'!$G$16</f>
        <v/>
      </c>
    </row>
    <row r="142">
      <c r="A142" s="12">
        <f>'Nisan'!$A$16</f>
        <v/>
      </c>
      <c r="B142" s="13">
        <f>'Nisan'!$B$16</f>
        <v/>
      </c>
      <c r="C142" s="12">
        <f>'Nisan'!$C$16</f>
        <v/>
      </c>
      <c r="D142" s="12">
        <f>IF('Nisan'!$B$16="","","Nisan")</f>
        <v/>
      </c>
      <c r="E142" s="14">
        <f>'Nisan'!$D$16</f>
        <v/>
      </c>
      <c r="F142" s="14">
        <f>'Nisan'!$E$16</f>
        <v/>
      </c>
      <c r="G142" s="14">
        <f>'Nisan'!$F$16</f>
        <v/>
      </c>
      <c r="H142" s="14">
        <f>'Nisan'!$G$16</f>
        <v/>
      </c>
    </row>
    <row r="143">
      <c r="A143" s="9">
        <f>'Mayıs'!$A$16</f>
        <v/>
      </c>
      <c r="B143" s="10">
        <f>'Mayıs'!$B$16</f>
        <v/>
      </c>
      <c r="C143" s="9">
        <f>'Mayıs'!$C$16</f>
        <v/>
      </c>
      <c r="D143" s="9">
        <f>IF('Mayıs'!$B$16="","","Mayıs")</f>
        <v/>
      </c>
      <c r="E143" s="11">
        <f>'Mayıs'!$D$16</f>
        <v/>
      </c>
      <c r="F143" s="11">
        <f>'Mayıs'!$E$16</f>
        <v/>
      </c>
      <c r="G143" s="11">
        <f>'Mayıs'!$F$16</f>
        <v/>
      </c>
      <c r="H143" s="11">
        <f>'Mayıs'!$G$16</f>
        <v/>
      </c>
    </row>
    <row r="144">
      <c r="A144" s="12">
        <f>'Haziran'!$A$16</f>
        <v/>
      </c>
      <c r="B144" s="13">
        <f>'Haziran'!$B$16</f>
        <v/>
      </c>
      <c r="C144" s="12">
        <f>'Haziran'!$C$16</f>
        <v/>
      </c>
      <c r="D144" s="12">
        <f>IF('Haziran'!$B$16="","","Haziran")</f>
        <v/>
      </c>
      <c r="E144" s="14">
        <f>'Haziran'!$D$16</f>
        <v/>
      </c>
      <c r="F144" s="14">
        <f>'Haziran'!$E$16</f>
        <v/>
      </c>
      <c r="G144" s="14">
        <f>'Haziran'!$F$16</f>
        <v/>
      </c>
      <c r="H144" s="14">
        <f>'Haziran'!$G$16</f>
        <v/>
      </c>
    </row>
    <row r="145">
      <c r="A145" s="9">
        <f>'Temmuz'!$A$16</f>
        <v/>
      </c>
      <c r="B145" s="10">
        <f>'Temmuz'!$B$16</f>
        <v/>
      </c>
      <c r="C145" s="9">
        <f>'Temmuz'!$C$16</f>
        <v/>
      </c>
      <c r="D145" s="9">
        <f>IF('Temmuz'!$B$16="","","Temmuz")</f>
        <v/>
      </c>
      <c r="E145" s="11">
        <f>'Temmuz'!$D$16</f>
        <v/>
      </c>
      <c r="F145" s="11">
        <f>'Temmuz'!$E$16</f>
        <v/>
      </c>
      <c r="G145" s="11">
        <f>'Temmuz'!$F$16</f>
        <v/>
      </c>
      <c r="H145" s="11">
        <f>'Temmuz'!$G$16</f>
        <v/>
      </c>
    </row>
    <row r="146">
      <c r="A146" s="12">
        <f>'Ağustos'!$A$16</f>
        <v/>
      </c>
      <c r="B146" s="13">
        <f>'Ağustos'!$B$16</f>
        <v/>
      </c>
      <c r="C146" s="12">
        <f>'Ağustos'!$C$16</f>
        <v/>
      </c>
      <c r="D146" s="12">
        <f>IF('Ağustos'!$B$16="","","Ağustos")</f>
        <v/>
      </c>
      <c r="E146" s="14">
        <f>'Ağustos'!$D$16</f>
        <v/>
      </c>
      <c r="F146" s="14">
        <f>'Ağustos'!$E$16</f>
        <v/>
      </c>
      <c r="G146" s="14">
        <f>'Ağustos'!$F$16</f>
        <v/>
      </c>
      <c r="H146" s="14">
        <f>'Ağustos'!$G$16</f>
        <v/>
      </c>
    </row>
    <row r="147">
      <c r="A147" s="9">
        <f>'Eylül'!$A$16</f>
        <v/>
      </c>
      <c r="B147" s="10">
        <f>'Eylül'!$B$16</f>
        <v/>
      </c>
      <c r="C147" s="9">
        <f>'Eylül'!$C$16</f>
        <v/>
      </c>
      <c r="D147" s="9">
        <f>IF('Eylül'!$B$16="","","Eylül")</f>
        <v/>
      </c>
      <c r="E147" s="11">
        <f>'Eylül'!$D$16</f>
        <v/>
      </c>
      <c r="F147" s="11">
        <f>'Eylül'!$E$16</f>
        <v/>
      </c>
      <c r="G147" s="11">
        <f>'Eylül'!$F$16</f>
        <v/>
      </c>
      <c r="H147" s="11">
        <f>'Eylül'!$G$16</f>
        <v/>
      </c>
    </row>
    <row r="148">
      <c r="A148" s="12">
        <f>'Ekim'!$A$16</f>
        <v/>
      </c>
      <c r="B148" s="13">
        <f>'Ekim'!$B$16</f>
        <v/>
      </c>
      <c r="C148" s="12">
        <f>'Ekim'!$C$16</f>
        <v/>
      </c>
      <c r="D148" s="12">
        <f>IF('Ekim'!$B$16="","","Ekim")</f>
        <v/>
      </c>
      <c r="E148" s="14">
        <f>'Ekim'!$D$16</f>
        <v/>
      </c>
      <c r="F148" s="14">
        <f>'Ekim'!$E$16</f>
        <v/>
      </c>
      <c r="G148" s="14">
        <f>'Ekim'!$F$16</f>
        <v/>
      </c>
      <c r="H148" s="14">
        <f>'Ekim'!$G$16</f>
        <v/>
      </c>
    </row>
    <row r="149">
      <c r="A149" s="9">
        <f>'Kasım'!$A$16</f>
        <v/>
      </c>
      <c r="B149" s="10">
        <f>'Kasım'!$B$16</f>
        <v/>
      </c>
      <c r="C149" s="9">
        <f>'Kasım'!$C$16</f>
        <v/>
      </c>
      <c r="D149" s="9">
        <f>IF('Kasım'!$B$16="","","Kasım")</f>
        <v/>
      </c>
      <c r="E149" s="11">
        <f>'Kasım'!$D$16</f>
        <v/>
      </c>
      <c r="F149" s="11">
        <f>'Kasım'!$E$16</f>
        <v/>
      </c>
      <c r="G149" s="11">
        <f>'Kasım'!$F$16</f>
        <v/>
      </c>
      <c r="H149" s="11">
        <f>'Kasım'!$G$16</f>
        <v/>
      </c>
    </row>
    <row r="150">
      <c r="A150" s="12">
        <f>'Aralık'!$A$16</f>
        <v/>
      </c>
      <c r="B150" s="13">
        <f>'Aralık'!$B$16</f>
        <v/>
      </c>
      <c r="C150" s="12">
        <f>'Aralık'!$C$16</f>
        <v/>
      </c>
      <c r="D150" s="12">
        <f>IF('Aralık'!$B$16="","","Aralık")</f>
        <v/>
      </c>
      <c r="E150" s="14">
        <f>'Aralık'!$D$16</f>
        <v/>
      </c>
      <c r="F150" s="14">
        <f>'Aralık'!$E$16</f>
        <v/>
      </c>
      <c r="G150" s="14">
        <f>'Aralık'!$F$16</f>
        <v/>
      </c>
      <c r="H150" s="14">
        <f>'Aralık'!$G$16</f>
        <v/>
      </c>
    </row>
    <row r="151" ht="20" customHeight="1">
      <c r="A151" s="15">
        <f>$A$139</f>
        <v/>
      </c>
      <c r="B151" s="16">
        <f>$B$139</f>
        <v/>
      </c>
      <c r="C151" s="15">
        <f>$C$139</f>
        <v/>
      </c>
      <c r="D151" s="15">
        <f>IF($B$139="","","YILLIK TOPLAM")</f>
        <v/>
      </c>
      <c r="E151" s="17">
        <f>IF($B$139="","",SUM(E139:E150))</f>
        <v/>
      </c>
      <c r="F151" s="17">
        <f>IF($B$139="","",SUM(F139:F150))</f>
        <v/>
      </c>
      <c r="G151" s="17">
        <f>IF($B$139="","",SUM(G139:G150))</f>
        <v/>
      </c>
      <c r="H151" s="17">
        <f>IF($B$139="","",SUM(H139:H150))</f>
        <v/>
      </c>
    </row>
    <row r="152">
      <c r="A152" s="9">
        <f>'Ocak'!$A$17</f>
        <v/>
      </c>
      <c r="B152" s="10">
        <f>'Ocak'!$B$17</f>
        <v/>
      </c>
      <c r="C152" s="9">
        <f>'Ocak'!$C$17</f>
        <v/>
      </c>
      <c r="D152" s="9">
        <f>IF('Ocak'!$B$17="","","Ocak")</f>
        <v/>
      </c>
      <c r="E152" s="11">
        <f>'Ocak'!$D$17</f>
        <v/>
      </c>
      <c r="F152" s="11">
        <f>'Ocak'!$E$17</f>
        <v/>
      </c>
      <c r="G152" s="11">
        <f>'Ocak'!$F$17</f>
        <v/>
      </c>
      <c r="H152" s="11">
        <f>'Ocak'!$G$17</f>
        <v/>
      </c>
    </row>
    <row r="153">
      <c r="A153" s="12">
        <f>'Şubat'!$A$17</f>
        <v/>
      </c>
      <c r="B153" s="13">
        <f>'Şubat'!$B$17</f>
        <v/>
      </c>
      <c r="C153" s="12">
        <f>'Şubat'!$C$17</f>
        <v/>
      </c>
      <c r="D153" s="12">
        <f>IF('Şubat'!$B$17="","","Şubat")</f>
        <v/>
      </c>
      <c r="E153" s="14">
        <f>'Şubat'!$D$17</f>
        <v/>
      </c>
      <c r="F153" s="14">
        <f>'Şubat'!$E$17</f>
        <v/>
      </c>
      <c r="G153" s="14">
        <f>'Şubat'!$F$17</f>
        <v/>
      </c>
      <c r="H153" s="14">
        <f>'Şubat'!$G$17</f>
        <v/>
      </c>
    </row>
    <row r="154">
      <c r="A154" s="9">
        <f>'Mart'!$A$17</f>
        <v/>
      </c>
      <c r="B154" s="10">
        <f>'Mart'!$B$17</f>
        <v/>
      </c>
      <c r="C154" s="9">
        <f>'Mart'!$C$17</f>
        <v/>
      </c>
      <c r="D154" s="9">
        <f>IF('Mart'!$B$17="","","Mart")</f>
        <v/>
      </c>
      <c r="E154" s="11">
        <f>'Mart'!$D$17</f>
        <v/>
      </c>
      <c r="F154" s="11">
        <f>'Mart'!$E$17</f>
        <v/>
      </c>
      <c r="G154" s="11">
        <f>'Mart'!$F$17</f>
        <v/>
      </c>
      <c r="H154" s="11">
        <f>'Mart'!$G$17</f>
        <v/>
      </c>
    </row>
    <row r="155">
      <c r="A155" s="12">
        <f>'Nisan'!$A$17</f>
        <v/>
      </c>
      <c r="B155" s="13">
        <f>'Nisan'!$B$17</f>
        <v/>
      </c>
      <c r="C155" s="12">
        <f>'Nisan'!$C$17</f>
        <v/>
      </c>
      <c r="D155" s="12">
        <f>IF('Nisan'!$B$17="","","Nisan")</f>
        <v/>
      </c>
      <c r="E155" s="14">
        <f>'Nisan'!$D$17</f>
        <v/>
      </c>
      <c r="F155" s="14">
        <f>'Nisan'!$E$17</f>
        <v/>
      </c>
      <c r="G155" s="14">
        <f>'Nisan'!$F$17</f>
        <v/>
      </c>
      <c r="H155" s="14">
        <f>'Nisan'!$G$17</f>
        <v/>
      </c>
    </row>
    <row r="156">
      <c r="A156" s="9">
        <f>'Mayıs'!$A$17</f>
        <v/>
      </c>
      <c r="B156" s="10">
        <f>'Mayıs'!$B$17</f>
        <v/>
      </c>
      <c r="C156" s="9">
        <f>'Mayıs'!$C$17</f>
        <v/>
      </c>
      <c r="D156" s="9">
        <f>IF('Mayıs'!$B$17="","","Mayıs")</f>
        <v/>
      </c>
      <c r="E156" s="11">
        <f>'Mayıs'!$D$17</f>
        <v/>
      </c>
      <c r="F156" s="11">
        <f>'Mayıs'!$E$17</f>
        <v/>
      </c>
      <c r="G156" s="11">
        <f>'Mayıs'!$F$17</f>
        <v/>
      </c>
      <c r="H156" s="11">
        <f>'Mayıs'!$G$17</f>
        <v/>
      </c>
    </row>
    <row r="157">
      <c r="A157" s="12">
        <f>'Haziran'!$A$17</f>
        <v/>
      </c>
      <c r="B157" s="13">
        <f>'Haziran'!$B$17</f>
        <v/>
      </c>
      <c r="C157" s="12">
        <f>'Haziran'!$C$17</f>
        <v/>
      </c>
      <c r="D157" s="12">
        <f>IF('Haziran'!$B$17="","","Haziran")</f>
        <v/>
      </c>
      <c r="E157" s="14">
        <f>'Haziran'!$D$17</f>
        <v/>
      </c>
      <c r="F157" s="14">
        <f>'Haziran'!$E$17</f>
        <v/>
      </c>
      <c r="G157" s="14">
        <f>'Haziran'!$F$17</f>
        <v/>
      </c>
      <c r="H157" s="14">
        <f>'Haziran'!$G$17</f>
        <v/>
      </c>
    </row>
    <row r="158">
      <c r="A158" s="9">
        <f>'Temmuz'!$A$17</f>
        <v/>
      </c>
      <c r="B158" s="10">
        <f>'Temmuz'!$B$17</f>
        <v/>
      </c>
      <c r="C158" s="9">
        <f>'Temmuz'!$C$17</f>
        <v/>
      </c>
      <c r="D158" s="9">
        <f>IF('Temmuz'!$B$17="","","Temmuz")</f>
        <v/>
      </c>
      <c r="E158" s="11">
        <f>'Temmuz'!$D$17</f>
        <v/>
      </c>
      <c r="F158" s="11">
        <f>'Temmuz'!$E$17</f>
        <v/>
      </c>
      <c r="G158" s="11">
        <f>'Temmuz'!$F$17</f>
        <v/>
      </c>
      <c r="H158" s="11">
        <f>'Temmuz'!$G$17</f>
        <v/>
      </c>
    </row>
    <row r="159">
      <c r="A159" s="12">
        <f>'Ağustos'!$A$17</f>
        <v/>
      </c>
      <c r="B159" s="13">
        <f>'Ağustos'!$B$17</f>
        <v/>
      </c>
      <c r="C159" s="12">
        <f>'Ağustos'!$C$17</f>
        <v/>
      </c>
      <c r="D159" s="12">
        <f>IF('Ağustos'!$B$17="","","Ağustos")</f>
        <v/>
      </c>
      <c r="E159" s="14">
        <f>'Ağustos'!$D$17</f>
        <v/>
      </c>
      <c r="F159" s="14">
        <f>'Ağustos'!$E$17</f>
        <v/>
      </c>
      <c r="G159" s="14">
        <f>'Ağustos'!$F$17</f>
        <v/>
      </c>
      <c r="H159" s="14">
        <f>'Ağustos'!$G$17</f>
        <v/>
      </c>
    </row>
    <row r="160">
      <c r="A160" s="9">
        <f>'Eylül'!$A$17</f>
        <v/>
      </c>
      <c r="B160" s="10">
        <f>'Eylül'!$B$17</f>
        <v/>
      </c>
      <c r="C160" s="9">
        <f>'Eylül'!$C$17</f>
        <v/>
      </c>
      <c r="D160" s="9">
        <f>IF('Eylül'!$B$17="","","Eylül")</f>
        <v/>
      </c>
      <c r="E160" s="11">
        <f>'Eylül'!$D$17</f>
        <v/>
      </c>
      <c r="F160" s="11">
        <f>'Eylül'!$E$17</f>
        <v/>
      </c>
      <c r="G160" s="11">
        <f>'Eylül'!$F$17</f>
        <v/>
      </c>
      <c r="H160" s="11">
        <f>'Eylül'!$G$17</f>
        <v/>
      </c>
    </row>
    <row r="161">
      <c r="A161" s="12">
        <f>'Ekim'!$A$17</f>
        <v/>
      </c>
      <c r="B161" s="13">
        <f>'Ekim'!$B$17</f>
        <v/>
      </c>
      <c r="C161" s="12">
        <f>'Ekim'!$C$17</f>
        <v/>
      </c>
      <c r="D161" s="12">
        <f>IF('Ekim'!$B$17="","","Ekim")</f>
        <v/>
      </c>
      <c r="E161" s="14">
        <f>'Ekim'!$D$17</f>
        <v/>
      </c>
      <c r="F161" s="14">
        <f>'Ekim'!$E$17</f>
        <v/>
      </c>
      <c r="G161" s="14">
        <f>'Ekim'!$F$17</f>
        <v/>
      </c>
      <c r="H161" s="14">
        <f>'Ekim'!$G$17</f>
        <v/>
      </c>
    </row>
    <row r="162">
      <c r="A162" s="9">
        <f>'Kasım'!$A$17</f>
        <v/>
      </c>
      <c r="B162" s="10">
        <f>'Kasım'!$B$17</f>
        <v/>
      </c>
      <c r="C162" s="9">
        <f>'Kasım'!$C$17</f>
        <v/>
      </c>
      <c r="D162" s="9">
        <f>IF('Kasım'!$B$17="","","Kasım")</f>
        <v/>
      </c>
      <c r="E162" s="11">
        <f>'Kasım'!$D$17</f>
        <v/>
      </c>
      <c r="F162" s="11">
        <f>'Kasım'!$E$17</f>
        <v/>
      </c>
      <c r="G162" s="11">
        <f>'Kasım'!$F$17</f>
        <v/>
      </c>
      <c r="H162" s="11">
        <f>'Kasım'!$G$17</f>
        <v/>
      </c>
    </row>
    <row r="163">
      <c r="A163" s="12">
        <f>'Aralık'!$A$17</f>
        <v/>
      </c>
      <c r="B163" s="13">
        <f>'Aralık'!$B$17</f>
        <v/>
      </c>
      <c r="C163" s="12">
        <f>'Aralık'!$C$17</f>
        <v/>
      </c>
      <c r="D163" s="12">
        <f>IF('Aralık'!$B$17="","","Aralık")</f>
        <v/>
      </c>
      <c r="E163" s="14">
        <f>'Aralık'!$D$17</f>
        <v/>
      </c>
      <c r="F163" s="14">
        <f>'Aralık'!$E$17</f>
        <v/>
      </c>
      <c r="G163" s="14">
        <f>'Aralık'!$F$17</f>
        <v/>
      </c>
      <c r="H163" s="14">
        <f>'Aralık'!$G$17</f>
        <v/>
      </c>
    </row>
    <row r="164" ht="20" customHeight="1">
      <c r="A164" s="15">
        <f>$A$152</f>
        <v/>
      </c>
      <c r="B164" s="16">
        <f>$B$152</f>
        <v/>
      </c>
      <c r="C164" s="15">
        <f>$C$152</f>
        <v/>
      </c>
      <c r="D164" s="15">
        <f>IF($B$152="","","YILLIK TOPLAM")</f>
        <v/>
      </c>
      <c r="E164" s="17">
        <f>IF($B$152="","",SUM(E152:E163))</f>
        <v/>
      </c>
      <c r="F164" s="17">
        <f>IF($B$152="","",SUM(F152:F163))</f>
        <v/>
      </c>
      <c r="G164" s="17">
        <f>IF($B$152="","",SUM(G152:G163))</f>
        <v/>
      </c>
      <c r="H164" s="17">
        <f>IF($B$152="","",SUM(H152:H163))</f>
        <v/>
      </c>
    </row>
    <row r="165">
      <c r="A165" s="9">
        <f>'Ocak'!$A$18</f>
        <v/>
      </c>
      <c r="B165" s="10">
        <f>'Ocak'!$B$18</f>
        <v/>
      </c>
      <c r="C165" s="9">
        <f>'Ocak'!$C$18</f>
        <v/>
      </c>
      <c r="D165" s="9">
        <f>IF('Ocak'!$B$18="","","Ocak")</f>
        <v/>
      </c>
      <c r="E165" s="11">
        <f>'Ocak'!$D$18</f>
        <v/>
      </c>
      <c r="F165" s="11">
        <f>'Ocak'!$E$18</f>
        <v/>
      </c>
      <c r="G165" s="11">
        <f>'Ocak'!$F$18</f>
        <v/>
      </c>
      <c r="H165" s="11">
        <f>'Ocak'!$G$18</f>
        <v/>
      </c>
    </row>
    <row r="166">
      <c r="A166" s="12">
        <f>'Şubat'!$A$18</f>
        <v/>
      </c>
      <c r="B166" s="13">
        <f>'Şubat'!$B$18</f>
        <v/>
      </c>
      <c r="C166" s="12">
        <f>'Şubat'!$C$18</f>
        <v/>
      </c>
      <c r="D166" s="12">
        <f>IF('Şubat'!$B$18="","","Şubat")</f>
        <v/>
      </c>
      <c r="E166" s="14">
        <f>'Şubat'!$D$18</f>
        <v/>
      </c>
      <c r="F166" s="14">
        <f>'Şubat'!$E$18</f>
        <v/>
      </c>
      <c r="G166" s="14">
        <f>'Şubat'!$F$18</f>
        <v/>
      </c>
      <c r="H166" s="14">
        <f>'Şubat'!$G$18</f>
        <v/>
      </c>
    </row>
    <row r="167">
      <c r="A167" s="9">
        <f>'Mart'!$A$18</f>
        <v/>
      </c>
      <c r="B167" s="10">
        <f>'Mart'!$B$18</f>
        <v/>
      </c>
      <c r="C167" s="9">
        <f>'Mart'!$C$18</f>
        <v/>
      </c>
      <c r="D167" s="9">
        <f>IF('Mart'!$B$18="","","Mart")</f>
        <v/>
      </c>
      <c r="E167" s="11">
        <f>'Mart'!$D$18</f>
        <v/>
      </c>
      <c r="F167" s="11">
        <f>'Mart'!$E$18</f>
        <v/>
      </c>
      <c r="G167" s="11">
        <f>'Mart'!$F$18</f>
        <v/>
      </c>
      <c r="H167" s="11">
        <f>'Mart'!$G$18</f>
        <v/>
      </c>
    </row>
    <row r="168">
      <c r="A168" s="12">
        <f>'Nisan'!$A$18</f>
        <v/>
      </c>
      <c r="B168" s="13">
        <f>'Nisan'!$B$18</f>
        <v/>
      </c>
      <c r="C168" s="12">
        <f>'Nisan'!$C$18</f>
        <v/>
      </c>
      <c r="D168" s="12">
        <f>IF('Nisan'!$B$18="","","Nisan")</f>
        <v/>
      </c>
      <c r="E168" s="14">
        <f>'Nisan'!$D$18</f>
        <v/>
      </c>
      <c r="F168" s="14">
        <f>'Nisan'!$E$18</f>
        <v/>
      </c>
      <c r="G168" s="14">
        <f>'Nisan'!$F$18</f>
        <v/>
      </c>
      <c r="H168" s="14">
        <f>'Nisan'!$G$18</f>
        <v/>
      </c>
    </row>
    <row r="169">
      <c r="A169" s="9">
        <f>'Mayıs'!$A$18</f>
        <v/>
      </c>
      <c r="B169" s="10">
        <f>'Mayıs'!$B$18</f>
        <v/>
      </c>
      <c r="C169" s="9">
        <f>'Mayıs'!$C$18</f>
        <v/>
      </c>
      <c r="D169" s="9">
        <f>IF('Mayıs'!$B$18="","","Mayıs")</f>
        <v/>
      </c>
      <c r="E169" s="11">
        <f>'Mayıs'!$D$18</f>
        <v/>
      </c>
      <c r="F169" s="11">
        <f>'Mayıs'!$E$18</f>
        <v/>
      </c>
      <c r="G169" s="11">
        <f>'Mayıs'!$F$18</f>
        <v/>
      </c>
      <c r="H169" s="11">
        <f>'Mayıs'!$G$18</f>
        <v/>
      </c>
    </row>
    <row r="170">
      <c r="A170" s="12">
        <f>'Haziran'!$A$18</f>
        <v/>
      </c>
      <c r="B170" s="13">
        <f>'Haziran'!$B$18</f>
        <v/>
      </c>
      <c r="C170" s="12">
        <f>'Haziran'!$C$18</f>
        <v/>
      </c>
      <c r="D170" s="12">
        <f>IF('Haziran'!$B$18="","","Haziran")</f>
        <v/>
      </c>
      <c r="E170" s="14">
        <f>'Haziran'!$D$18</f>
        <v/>
      </c>
      <c r="F170" s="14">
        <f>'Haziran'!$E$18</f>
        <v/>
      </c>
      <c r="G170" s="14">
        <f>'Haziran'!$F$18</f>
        <v/>
      </c>
      <c r="H170" s="14">
        <f>'Haziran'!$G$18</f>
        <v/>
      </c>
    </row>
    <row r="171">
      <c r="A171" s="9">
        <f>'Temmuz'!$A$18</f>
        <v/>
      </c>
      <c r="B171" s="10">
        <f>'Temmuz'!$B$18</f>
        <v/>
      </c>
      <c r="C171" s="9">
        <f>'Temmuz'!$C$18</f>
        <v/>
      </c>
      <c r="D171" s="9">
        <f>IF('Temmuz'!$B$18="","","Temmuz")</f>
        <v/>
      </c>
      <c r="E171" s="11">
        <f>'Temmuz'!$D$18</f>
        <v/>
      </c>
      <c r="F171" s="11">
        <f>'Temmuz'!$E$18</f>
        <v/>
      </c>
      <c r="G171" s="11">
        <f>'Temmuz'!$F$18</f>
        <v/>
      </c>
      <c r="H171" s="11">
        <f>'Temmuz'!$G$18</f>
        <v/>
      </c>
    </row>
    <row r="172">
      <c r="A172" s="12">
        <f>'Ağustos'!$A$18</f>
        <v/>
      </c>
      <c r="B172" s="13">
        <f>'Ağustos'!$B$18</f>
        <v/>
      </c>
      <c r="C172" s="12">
        <f>'Ağustos'!$C$18</f>
        <v/>
      </c>
      <c r="D172" s="12">
        <f>IF('Ağustos'!$B$18="","","Ağustos")</f>
        <v/>
      </c>
      <c r="E172" s="14">
        <f>'Ağustos'!$D$18</f>
        <v/>
      </c>
      <c r="F172" s="14">
        <f>'Ağustos'!$E$18</f>
        <v/>
      </c>
      <c r="G172" s="14">
        <f>'Ağustos'!$F$18</f>
        <v/>
      </c>
      <c r="H172" s="14">
        <f>'Ağustos'!$G$18</f>
        <v/>
      </c>
    </row>
    <row r="173">
      <c r="A173" s="9">
        <f>'Eylül'!$A$18</f>
        <v/>
      </c>
      <c r="B173" s="10">
        <f>'Eylül'!$B$18</f>
        <v/>
      </c>
      <c r="C173" s="9">
        <f>'Eylül'!$C$18</f>
        <v/>
      </c>
      <c r="D173" s="9">
        <f>IF('Eylül'!$B$18="","","Eylül")</f>
        <v/>
      </c>
      <c r="E173" s="11">
        <f>'Eylül'!$D$18</f>
        <v/>
      </c>
      <c r="F173" s="11">
        <f>'Eylül'!$E$18</f>
        <v/>
      </c>
      <c r="G173" s="11">
        <f>'Eylül'!$F$18</f>
        <v/>
      </c>
      <c r="H173" s="11">
        <f>'Eylül'!$G$18</f>
        <v/>
      </c>
    </row>
    <row r="174">
      <c r="A174" s="12">
        <f>'Ekim'!$A$18</f>
        <v/>
      </c>
      <c r="B174" s="13">
        <f>'Ekim'!$B$18</f>
        <v/>
      </c>
      <c r="C174" s="12">
        <f>'Ekim'!$C$18</f>
        <v/>
      </c>
      <c r="D174" s="12">
        <f>IF('Ekim'!$B$18="","","Ekim")</f>
        <v/>
      </c>
      <c r="E174" s="14">
        <f>'Ekim'!$D$18</f>
        <v/>
      </c>
      <c r="F174" s="14">
        <f>'Ekim'!$E$18</f>
        <v/>
      </c>
      <c r="G174" s="14">
        <f>'Ekim'!$F$18</f>
        <v/>
      </c>
      <c r="H174" s="14">
        <f>'Ekim'!$G$18</f>
        <v/>
      </c>
    </row>
    <row r="175">
      <c r="A175" s="9">
        <f>'Kasım'!$A$18</f>
        <v/>
      </c>
      <c r="B175" s="10">
        <f>'Kasım'!$B$18</f>
        <v/>
      </c>
      <c r="C175" s="9">
        <f>'Kasım'!$C$18</f>
        <v/>
      </c>
      <c r="D175" s="9">
        <f>IF('Kasım'!$B$18="","","Kasım")</f>
        <v/>
      </c>
      <c r="E175" s="11">
        <f>'Kasım'!$D$18</f>
        <v/>
      </c>
      <c r="F175" s="11">
        <f>'Kasım'!$E$18</f>
        <v/>
      </c>
      <c r="G175" s="11">
        <f>'Kasım'!$F$18</f>
        <v/>
      </c>
      <c r="H175" s="11">
        <f>'Kasım'!$G$18</f>
        <v/>
      </c>
    </row>
    <row r="176">
      <c r="A176" s="12">
        <f>'Aralık'!$A$18</f>
        <v/>
      </c>
      <c r="B176" s="13">
        <f>'Aralık'!$B$18</f>
        <v/>
      </c>
      <c r="C176" s="12">
        <f>'Aralık'!$C$18</f>
        <v/>
      </c>
      <c r="D176" s="12">
        <f>IF('Aralık'!$B$18="","","Aralık")</f>
        <v/>
      </c>
      <c r="E176" s="14">
        <f>'Aralık'!$D$18</f>
        <v/>
      </c>
      <c r="F176" s="14">
        <f>'Aralık'!$E$18</f>
        <v/>
      </c>
      <c r="G176" s="14">
        <f>'Aralık'!$F$18</f>
        <v/>
      </c>
      <c r="H176" s="14">
        <f>'Aralık'!$G$18</f>
        <v/>
      </c>
    </row>
    <row r="177" ht="20" customHeight="1">
      <c r="A177" s="15">
        <f>$A$165</f>
        <v/>
      </c>
      <c r="B177" s="16">
        <f>$B$165</f>
        <v/>
      </c>
      <c r="C177" s="15">
        <f>$C$165</f>
        <v/>
      </c>
      <c r="D177" s="15">
        <f>IF($B$165="","","YILLIK TOPLAM")</f>
        <v/>
      </c>
      <c r="E177" s="17">
        <f>IF($B$165="","",SUM(E165:E176))</f>
        <v/>
      </c>
      <c r="F177" s="17">
        <f>IF($B$165="","",SUM(F165:F176))</f>
        <v/>
      </c>
      <c r="G177" s="17">
        <f>IF($B$165="","",SUM(G165:G176))</f>
        <v/>
      </c>
      <c r="H177" s="17">
        <f>IF($B$165="","",SUM(H165:H176))</f>
        <v/>
      </c>
    </row>
    <row r="178">
      <c r="A178" s="9">
        <f>'Ocak'!$A$19</f>
        <v/>
      </c>
      <c r="B178" s="10">
        <f>'Ocak'!$B$19</f>
        <v/>
      </c>
      <c r="C178" s="9">
        <f>'Ocak'!$C$19</f>
        <v/>
      </c>
      <c r="D178" s="9">
        <f>IF('Ocak'!$B$19="","","Ocak")</f>
        <v/>
      </c>
      <c r="E178" s="11">
        <f>'Ocak'!$D$19</f>
        <v/>
      </c>
      <c r="F178" s="11">
        <f>'Ocak'!$E$19</f>
        <v/>
      </c>
      <c r="G178" s="11">
        <f>'Ocak'!$F$19</f>
        <v/>
      </c>
      <c r="H178" s="11">
        <f>'Ocak'!$G$19</f>
        <v/>
      </c>
    </row>
    <row r="179">
      <c r="A179" s="12">
        <f>'Şubat'!$A$19</f>
        <v/>
      </c>
      <c r="B179" s="13">
        <f>'Şubat'!$B$19</f>
        <v/>
      </c>
      <c r="C179" s="12">
        <f>'Şubat'!$C$19</f>
        <v/>
      </c>
      <c r="D179" s="12">
        <f>IF('Şubat'!$B$19="","","Şubat")</f>
        <v/>
      </c>
      <c r="E179" s="14">
        <f>'Şubat'!$D$19</f>
        <v/>
      </c>
      <c r="F179" s="14">
        <f>'Şubat'!$E$19</f>
        <v/>
      </c>
      <c r="G179" s="14">
        <f>'Şubat'!$F$19</f>
        <v/>
      </c>
      <c r="H179" s="14">
        <f>'Şubat'!$G$19</f>
        <v/>
      </c>
    </row>
    <row r="180">
      <c r="A180" s="9">
        <f>'Mart'!$A$19</f>
        <v/>
      </c>
      <c r="B180" s="10">
        <f>'Mart'!$B$19</f>
        <v/>
      </c>
      <c r="C180" s="9">
        <f>'Mart'!$C$19</f>
        <v/>
      </c>
      <c r="D180" s="9">
        <f>IF('Mart'!$B$19="","","Mart")</f>
        <v/>
      </c>
      <c r="E180" s="11">
        <f>'Mart'!$D$19</f>
        <v/>
      </c>
      <c r="F180" s="11">
        <f>'Mart'!$E$19</f>
        <v/>
      </c>
      <c r="G180" s="11">
        <f>'Mart'!$F$19</f>
        <v/>
      </c>
      <c r="H180" s="11">
        <f>'Mart'!$G$19</f>
        <v/>
      </c>
    </row>
    <row r="181">
      <c r="A181" s="12">
        <f>'Nisan'!$A$19</f>
        <v/>
      </c>
      <c r="B181" s="13">
        <f>'Nisan'!$B$19</f>
        <v/>
      </c>
      <c r="C181" s="12">
        <f>'Nisan'!$C$19</f>
        <v/>
      </c>
      <c r="D181" s="12">
        <f>IF('Nisan'!$B$19="","","Nisan")</f>
        <v/>
      </c>
      <c r="E181" s="14">
        <f>'Nisan'!$D$19</f>
        <v/>
      </c>
      <c r="F181" s="14">
        <f>'Nisan'!$E$19</f>
        <v/>
      </c>
      <c r="G181" s="14">
        <f>'Nisan'!$F$19</f>
        <v/>
      </c>
      <c r="H181" s="14">
        <f>'Nisan'!$G$19</f>
        <v/>
      </c>
    </row>
    <row r="182">
      <c r="A182" s="9">
        <f>'Mayıs'!$A$19</f>
        <v/>
      </c>
      <c r="B182" s="10">
        <f>'Mayıs'!$B$19</f>
        <v/>
      </c>
      <c r="C182" s="9">
        <f>'Mayıs'!$C$19</f>
        <v/>
      </c>
      <c r="D182" s="9">
        <f>IF('Mayıs'!$B$19="","","Mayıs")</f>
        <v/>
      </c>
      <c r="E182" s="11">
        <f>'Mayıs'!$D$19</f>
        <v/>
      </c>
      <c r="F182" s="11">
        <f>'Mayıs'!$E$19</f>
        <v/>
      </c>
      <c r="G182" s="11">
        <f>'Mayıs'!$F$19</f>
        <v/>
      </c>
      <c r="H182" s="11">
        <f>'Mayıs'!$G$19</f>
        <v/>
      </c>
    </row>
    <row r="183">
      <c r="A183" s="12">
        <f>'Haziran'!$A$19</f>
        <v/>
      </c>
      <c r="B183" s="13">
        <f>'Haziran'!$B$19</f>
        <v/>
      </c>
      <c r="C183" s="12">
        <f>'Haziran'!$C$19</f>
        <v/>
      </c>
      <c r="D183" s="12">
        <f>IF('Haziran'!$B$19="","","Haziran")</f>
        <v/>
      </c>
      <c r="E183" s="14">
        <f>'Haziran'!$D$19</f>
        <v/>
      </c>
      <c r="F183" s="14">
        <f>'Haziran'!$E$19</f>
        <v/>
      </c>
      <c r="G183" s="14">
        <f>'Haziran'!$F$19</f>
        <v/>
      </c>
      <c r="H183" s="14">
        <f>'Haziran'!$G$19</f>
        <v/>
      </c>
    </row>
    <row r="184">
      <c r="A184" s="9">
        <f>'Temmuz'!$A$19</f>
        <v/>
      </c>
      <c r="B184" s="10">
        <f>'Temmuz'!$B$19</f>
        <v/>
      </c>
      <c r="C184" s="9">
        <f>'Temmuz'!$C$19</f>
        <v/>
      </c>
      <c r="D184" s="9">
        <f>IF('Temmuz'!$B$19="","","Temmuz")</f>
        <v/>
      </c>
      <c r="E184" s="11">
        <f>'Temmuz'!$D$19</f>
        <v/>
      </c>
      <c r="F184" s="11">
        <f>'Temmuz'!$E$19</f>
        <v/>
      </c>
      <c r="G184" s="11">
        <f>'Temmuz'!$F$19</f>
        <v/>
      </c>
      <c r="H184" s="11">
        <f>'Temmuz'!$G$19</f>
        <v/>
      </c>
    </row>
    <row r="185">
      <c r="A185" s="12">
        <f>'Ağustos'!$A$19</f>
        <v/>
      </c>
      <c r="B185" s="13">
        <f>'Ağustos'!$B$19</f>
        <v/>
      </c>
      <c r="C185" s="12">
        <f>'Ağustos'!$C$19</f>
        <v/>
      </c>
      <c r="D185" s="12">
        <f>IF('Ağustos'!$B$19="","","Ağustos")</f>
        <v/>
      </c>
      <c r="E185" s="14">
        <f>'Ağustos'!$D$19</f>
        <v/>
      </c>
      <c r="F185" s="14">
        <f>'Ağustos'!$E$19</f>
        <v/>
      </c>
      <c r="G185" s="14">
        <f>'Ağustos'!$F$19</f>
        <v/>
      </c>
      <c r="H185" s="14">
        <f>'Ağustos'!$G$19</f>
        <v/>
      </c>
    </row>
    <row r="186">
      <c r="A186" s="9">
        <f>'Eylül'!$A$19</f>
        <v/>
      </c>
      <c r="B186" s="10">
        <f>'Eylül'!$B$19</f>
        <v/>
      </c>
      <c r="C186" s="9">
        <f>'Eylül'!$C$19</f>
        <v/>
      </c>
      <c r="D186" s="9">
        <f>IF('Eylül'!$B$19="","","Eylül")</f>
        <v/>
      </c>
      <c r="E186" s="11">
        <f>'Eylül'!$D$19</f>
        <v/>
      </c>
      <c r="F186" s="11">
        <f>'Eylül'!$E$19</f>
        <v/>
      </c>
      <c r="G186" s="11">
        <f>'Eylül'!$F$19</f>
        <v/>
      </c>
      <c r="H186" s="11">
        <f>'Eylül'!$G$19</f>
        <v/>
      </c>
    </row>
    <row r="187">
      <c r="A187" s="12">
        <f>'Ekim'!$A$19</f>
        <v/>
      </c>
      <c r="B187" s="13">
        <f>'Ekim'!$B$19</f>
        <v/>
      </c>
      <c r="C187" s="12">
        <f>'Ekim'!$C$19</f>
        <v/>
      </c>
      <c r="D187" s="12">
        <f>IF('Ekim'!$B$19="","","Ekim")</f>
        <v/>
      </c>
      <c r="E187" s="14">
        <f>'Ekim'!$D$19</f>
        <v/>
      </c>
      <c r="F187" s="14">
        <f>'Ekim'!$E$19</f>
        <v/>
      </c>
      <c r="G187" s="14">
        <f>'Ekim'!$F$19</f>
        <v/>
      </c>
      <c r="H187" s="14">
        <f>'Ekim'!$G$19</f>
        <v/>
      </c>
    </row>
    <row r="188">
      <c r="A188" s="9">
        <f>'Kasım'!$A$19</f>
        <v/>
      </c>
      <c r="B188" s="10">
        <f>'Kasım'!$B$19</f>
        <v/>
      </c>
      <c r="C188" s="9">
        <f>'Kasım'!$C$19</f>
        <v/>
      </c>
      <c r="D188" s="9">
        <f>IF('Kasım'!$B$19="","","Kasım")</f>
        <v/>
      </c>
      <c r="E188" s="11">
        <f>'Kasım'!$D$19</f>
        <v/>
      </c>
      <c r="F188" s="11">
        <f>'Kasım'!$E$19</f>
        <v/>
      </c>
      <c r="G188" s="11">
        <f>'Kasım'!$F$19</f>
        <v/>
      </c>
      <c r="H188" s="11">
        <f>'Kasım'!$G$19</f>
        <v/>
      </c>
    </row>
    <row r="189">
      <c r="A189" s="12">
        <f>'Aralık'!$A$19</f>
        <v/>
      </c>
      <c r="B189" s="13">
        <f>'Aralık'!$B$19</f>
        <v/>
      </c>
      <c r="C189" s="12">
        <f>'Aralık'!$C$19</f>
        <v/>
      </c>
      <c r="D189" s="12">
        <f>IF('Aralık'!$B$19="","","Aralık")</f>
        <v/>
      </c>
      <c r="E189" s="14">
        <f>'Aralık'!$D$19</f>
        <v/>
      </c>
      <c r="F189" s="14">
        <f>'Aralık'!$E$19</f>
        <v/>
      </c>
      <c r="G189" s="14">
        <f>'Aralık'!$F$19</f>
        <v/>
      </c>
      <c r="H189" s="14">
        <f>'Aralık'!$G$19</f>
        <v/>
      </c>
    </row>
    <row r="190" ht="20" customHeight="1">
      <c r="A190" s="15">
        <f>$A$178</f>
        <v/>
      </c>
      <c r="B190" s="16">
        <f>$B$178</f>
        <v/>
      </c>
      <c r="C190" s="15">
        <f>$C$178</f>
        <v/>
      </c>
      <c r="D190" s="15">
        <f>IF($B$178="","","YILLIK TOPLAM")</f>
        <v/>
      </c>
      <c r="E190" s="17">
        <f>IF($B$178="","",SUM(E178:E189))</f>
        <v/>
      </c>
      <c r="F190" s="17">
        <f>IF($B$178="","",SUM(F178:F189))</f>
        <v/>
      </c>
      <c r="G190" s="17">
        <f>IF($B$178="","",SUM(G178:G189))</f>
        <v/>
      </c>
      <c r="H190" s="17">
        <f>IF($B$178="","",SUM(H178:H189))</f>
        <v/>
      </c>
    </row>
    <row r="191">
      <c r="A191" s="9">
        <f>'Ocak'!$A$20</f>
        <v/>
      </c>
      <c r="B191" s="10">
        <f>'Ocak'!$B$20</f>
        <v/>
      </c>
      <c r="C191" s="9">
        <f>'Ocak'!$C$20</f>
        <v/>
      </c>
      <c r="D191" s="9">
        <f>IF('Ocak'!$B$20="","","Ocak")</f>
        <v/>
      </c>
      <c r="E191" s="11">
        <f>'Ocak'!$D$20</f>
        <v/>
      </c>
      <c r="F191" s="11">
        <f>'Ocak'!$E$20</f>
        <v/>
      </c>
      <c r="G191" s="11">
        <f>'Ocak'!$F$20</f>
        <v/>
      </c>
      <c r="H191" s="11">
        <f>'Ocak'!$G$20</f>
        <v/>
      </c>
    </row>
    <row r="192">
      <c r="A192" s="12">
        <f>'Şubat'!$A$20</f>
        <v/>
      </c>
      <c r="B192" s="13">
        <f>'Şubat'!$B$20</f>
        <v/>
      </c>
      <c r="C192" s="12">
        <f>'Şubat'!$C$20</f>
        <v/>
      </c>
      <c r="D192" s="12">
        <f>IF('Şubat'!$B$20="","","Şubat")</f>
        <v/>
      </c>
      <c r="E192" s="14">
        <f>'Şubat'!$D$20</f>
        <v/>
      </c>
      <c r="F192" s="14">
        <f>'Şubat'!$E$20</f>
        <v/>
      </c>
      <c r="G192" s="14">
        <f>'Şubat'!$F$20</f>
        <v/>
      </c>
      <c r="H192" s="14">
        <f>'Şubat'!$G$20</f>
        <v/>
      </c>
    </row>
    <row r="193">
      <c r="A193" s="9">
        <f>'Mart'!$A$20</f>
        <v/>
      </c>
      <c r="B193" s="10">
        <f>'Mart'!$B$20</f>
        <v/>
      </c>
      <c r="C193" s="9">
        <f>'Mart'!$C$20</f>
        <v/>
      </c>
      <c r="D193" s="9">
        <f>IF('Mart'!$B$20="","","Mart")</f>
        <v/>
      </c>
      <c r="E193" s="11">
        <f>'Mart'!$D$20</f>
        <v/>
      </c>
      <c r="F193" s="11">
        <f>'Mart'!$E$20</f>
        <v/>
      </c>
      <c r="G193" s="11">
        <f>'Mart'!$F$20</f>
        <v/>
      </c>
      <c r="H193" s="11">
        <f>'Mart'!$G$20</f>
        <v/>
      </c>
    </row>
    <row r="194">
      <c r="A194" s="12">
        <f>'Nisan'!$A$20</f>
        <v/>
      </c>
      <c r="B194" s="13">
        <f>'Nisan'!$B$20</f>
        <v/>
      </c>
      <c r="C194" s="12">
        <f>'Nisan'!$C$20</f>
        <v/>
      </c>
      <c r="D194" s="12">
        <f>IF('Nisan'!$B$20="","","Nisan")</f>
        <v/>
      </c>
      <c r="E194" s="14">
        <f>'Nisan'!$D$20</f>
        <v/>
      </c>
      <c r="F194" s="14">
        <f>'Nisan'!$E$20</f>
        <v/>
      </c>
      <c r="G194" s="14">
        <f>'Nisan'!$F$20</f>
        <v/>
      </c>
      <c r="H194" s="14">
        <f>'Nisan'!$G$20</f>
        <v/>
      </c>
    </row>
    <row r="195">
      <c r="A195" s="9">
        <f>'Mayıs'!$A$20</f>
        <v/>
      </c>
      <c r="B195" s="10">
        <f>'Mayıs'!$B$20</f>
        <v/>
      </c>
      <c r="C195" s="9">
        <f>'Mayıs'!$C$20</f>
        <v/>
      </c>
      <c r="D195" s="9">
        <f>IF('Mayıs'!$B$20="","","Mayıs")</f>
        <v/>
      </c>
      <c r="E195" s="11">
        <f>'Mayıs'!$D$20</f>
        <v/>
      </c>
      <c r="F195" s="11">
        <f>'Mayıs'!$E$20</f>
        <v/>
      </c>
      <c r="G195" s="11">
        <f>'Mayıs'!$F$20</f>
        <v/>
      </c>
      <c r="H195" s="11">
        <f>'Mayıs'!$G$20</f>
        <v/>
      </c>
    </row>
    <row r="196">
      <c r="A196" s="12">
        <f>'Haziran'!$A$20</f>
        <v/>
      </c>
      <c r="B196" s="13">
        <f>'Haziran'!$B$20</f>
        <v/>
      </c>
      <c r="C196" s="12">
        <f>'Haziran'!$C$20</f>
        <v/>
      </c>
      <c r="D196" s="12">
        <f>IF('Haziran'!$B$20="","","Haziran")</f>
        <v/>
      </c>
      <c r="E196" s="14">
        <f>'Haziran'!$D$20</f>
        <v/>
      </c>
      <c r="F196" s="14">
        <f>'Haziran'!$E$20</f>
        <v/>
      </c>
      <c r="G196" s="14">
        <f>'Haziran'!$F$20</f>
        <v/>
      </c>
      <c r="H196" s="14">
        <f>'Haziran'!$G$20</f>
        <v/>
      </c>
    </row>
    <row r="197">
      <c r="A197" s="9">
        <f>'Temmuz'!$A$20</f>
        <v/>
      </c>
      <c r="B197" s="10">
        <f>'Temmuz'!$B$20</f>
        <v/>
      </c>
      <c r="C197" s="9">
        <f>'Temmuz'!$C$20</f>
        <v/>
      </c>
      <c r="D197" s="9">
        <f>IF('Temmuz'!$B$20="","","Temmuz")</f>
        <v/>
      </c>
      <c r="E197" s="11">
        <f>'Temmuz'!$D$20</f>
        <v/>
      </c>
      <c r="F197" s="11">
        <f>'Temmuz'!$E$20</f>
        <v/>
      </c>
      <c r="G197" s="11">
        <f>'Temmuz'!$F$20</f>
        <v/>
      </c>
      <c r="H197" s="11">
        <f>'Temmuz'!$G$20</f>
        <v/>
      </c>
    </row>
    <row r="198">
      <c r="A198" s="12">
        <f>'Ağustos'!$A$20</f>
        <v/>
      </c>
      <c r="B198" s="13">
        <f>'Ağustos'!$B$20</f>
        <v/>
      </c>
      <c r="C198" s="12">
        <f>'Ağustos'!$C$20</f>
        <v/>
      </c>
      <c r="D198" s="12">
        <f>IF('Ağustos'!$B$20="","","Ağustos")</f>
        <v/>
      </c>
      <c r="E198" s="14">
        <f>'Ağustos'!$D$20</f>
        <v/>
      </c>
      <c r="F198" s="14">
        <f>'Ağustos'!$E$20</f>
        <v/>
      </c>
      <c r="G198" s="14">
        <f>'Ağustos'!$F$20</f>
        <v/>
      </c>
      <c r="H198" s="14">
        <f>'Ağustos'!$G$20</f>
        <v/>
      </c>
    </row>
    <row r="199">
      <c r="A199" s="9">
        <f>'Eylül'!$A$20</f>
        <v/>
      </c>
      <c r="B199" s="10">
        <f>'Eylül'!$B$20</f>
        <v/>
      </c>
      <c r="C199" s="9">
        <f>'Eylül'!$C$20</f>
        <v/>
      </c>
      <c r="D199" s="9">
        <f>IF('Eylül'!$B$20="","","Eylül")</f>
        <v/>
      </c>
      <c r="E199" s="11">
        <f>'Eylül'!$D$20</f>
        <v/>
      </c>
      <c r="F199" s="11">
        <f>'Eylül'!$E$20</f>
        <v/>
      </c>
      <c r="G199" s="11">
        <f>'Eylül'!$F$20</f>
        <v/>
      </c>
      <c r="H199" s="11">
        <f>'Eylül'!$G$20</f>
        <v/>
      </c>
    </row>
    <row r="200">
      <c r="A200" s="12">
        <f>'Ekim'!$A$20</f>
        <v/>
      </c>
      <c r="B200" s="13">
        <f>'Ekim'!$B$20</f>
        <v/>
      </c>
      <c r="C200" s="12">
        <f>'Ekim'!$C$20</f>
        <v/>
      </c>
      <c r="D200" s="12">
        <f>IF('Ekim'!$B$20="","","Ekim")</f>
        <v/>
      </c>
      <c r="E200" s="14">
        <f>'Ekim'!$D$20</f>
        <v/>
      </c>
      <c r="F200" s="14">
        <f>'Ekim'!$E$20</f>
        <v/>
      </c>
      <c r="G200" s="14">
        <f>'Ekim'!$F$20</f>
        <v/>
      </c>
      <c r="H200" s="14">
        <f>'Ekim'!$G$20</f>
        <v/>
      </c>
    </row>
    <row r="201">
      <c r="A201" s="9">
        <f>'Kasım'!$A$20</f>
        <v/>
      </c>
      <c r="B201" s="10">
        <f>'Kasım'!$B$20</f>
        <v/>
      </c>
      <c r="C201" s="9">
        <f>'Kasım'!$C$20</f>
        <v/>
      </c>
      <c r="D201" s="9">
        <f>IF('Kasım'!$B$20="","","Kasım")</f>
        <v/>
      </c>
      <c r="E201" s="11">
        <f>'Kasım'!$D$20</f>
        <v/>
      </c>
      <c r="F201" s="11">
        <f>'Kasım'!$E$20</f>
        <v/>
      </c>
      <c r="G201" s="11">
        <f>'Kasım'!$F$20</f>
        <v/>
      </c>
      <c r="H201" s="11">
        <f>'Kasım'!$G$20</f>
        <v/>
      </c>
    </row>
    <row r="202">
      <c r="A202" s="12">
        <f>'Aralık'!$A$20</f>
        <v/>
      </c>
      <c r="B202" s="13">
        <f>'Aralık'!$B$20</f>
        <v/>
      </c>
      <c r="C202" s="12">
        <f>'Aralık'!$C$20</f>
        <v/>
      </c>
      <c r="D202" s="12">
        <f>IF('Aralık'!$B$20="","","Aralık")</f>
        <v/>
      </c>
      <c r="E202" s="14">
        <f>'Aralık'!$D$20</f>
        <v/>
      </c>
      <c r="F202" s="14">
        <f>'Aralık'!$E$20</f>
        <v/>
      </c>
      <c r="G202" s="14">
        <f>'Aralık'!$F$20</f>
        <v/>
      </c>
      <c r="H202" s="14">
        <f>'Aralık'!$G$20</f>
        <v/>
      </c>
    </row>
    <row r="203" ht="20" customHeight="1">
      <c r="A203" s="15">
        <f>$A$191</f>
        <v/>
      </c>
      <c r="B203" s="16">
        <f>$B$191</f>
        <v/>
      </c>
      <c r="C203" s="15">
        <f>$C$191</f>
        <v/>
      </c>
      <c r="D203" s="15">
        <f>IF($B$191="","","YILLIK TOPLAM")</f>
        <v/>
      </c>
      <c r="E203" s="17">
        <f>IF($B$191="","",SUM(E191:E202))</f>
        <v/>
      </c>
      <c r="F203" s="17">
        <f>IF($B$191="","",SUM(F191:F202))</f>
        <v/>
      </c>
      <c r="G203" s="17">
        <f>IF($B$191="","",SUM(G191:G202))</f>
        <v/>
      </c>
      <c r="H203" s="17">
        <f>IF($B$191="","",SUM(H191:H202))</f>
        <v/>
      </c>
    </row>
    <row r="204">
      <c r="A204" s="9">
        <f>'Ocak'!$A$21</f>
        <v/>
      </c>
      <c r="B204" s="10">
        <f>'Ocak'!$B$21</f>
        <v/>
      </c>
      <c r="C204" s="9">
        <f>'Ocak'!$C$21</f>
        <v/>
      </c>
      <c r="D204" s="9">
        <f>IF('Ocak'!$B$21="","","Ocak")</f>
        <v/>
      </c>
      <c r="E204" s="11">
        <f>'Ocak'!$D$21</f>
        <v/>
      </c>
      <c r="F204" s="11">
        <f>'Ocak'!$E$21</f>
        <v/>
      </c>
      <c r="G204" s="11">
        <f>'Ocak'!$F$21</f>
        <v/>
      </c>
      <c r="H204" s="11">
        <f>'Ocak'!$G$21</f>
        <v/>
      </c>
    </row>
    <row r="205">
      <c r="A205" s="12">
        <f>'Şubat'!$A$21</f>
        <v/>
      </c>
      <c r="B205" s="13">
        <f>'Şubat'!$B$21</f>
        <v/>
      </c>
      <c r="C205" s="12">
        <f>'Şubat'!$C$21</f>
        <v/>
      </c>
      <c r="D205" s="12">
        <f>IF('Şubat'!$B$21="","","Şubat")</f>
        <v/>
      </c>
      <c r="E205" s="14">
        <f>'Şubat'!$D$21</f>
        <v/>
      </c>
      <c r="F205" s="14">
        <f>'Şubat'!$E$21</f>
        <v/>
      </c>
      <c r="G205" s="14">
        <f>'Şubat'!$F$21</f>
        <v/>
      </c>
      <c r="H205" s="14">
        <f>'Şubat'!$G$21</f>
        <v/>
      </c>
    </row>
    <row r="206">
      <c r="A206" s="9">
        <f>'Mart'!$A$21</f>
        <v/>
      </c>
      <c r="B206" s="10">
        <f>'Mart'!$B$21</f>
        <v/>
      </c>
      <c r="C206" s="9">
        <f>'Mart'!$C$21</f>
        <v/>
      </c>
      <c r="D206" s="9">
        <f>IF('Mart'!$B$21="","","Mart")</f>
        <v/>
      </c>
      <c r="E206" s="11">
        <f>'Mart'!$D$21</f>
        <v/>
      </c>
      <c r="F206" s="11">
        <f>'Mart'!$E$21</f>
        <v/>
      </c>
      <c r="G206" s="11">
        <f>'Mart'!$F$21</f>
        <v/>
      </c>
      <c r="H206" s="11">
        <f>'Mart'!$G$21</f>
        <v/>
      </c>
    </row>
    <row r="207">
      <c r="A207" s="12">
        <f>'Nisan'!$A$21</f>
        <v/>
      </c>
      <c r="B207" s="13">
        <f>'Nisan'!$B$21</f>
        <v/>
      </c>
      <c r="C207" s="12">
        <f>'Nisan'!$C$21</f>
        <v/>
      </c>
      <c r="D207" s="12">
        <f>IF('Nisan'!$B$21="","","Nisan")</f>
        <v/>
      </c>
      <c r="E207" s="14">
        <f>'Nisan'!$D$21</f>
        <v/>
      </c>
      <c r="F207" s="14">
        <f>'Nisan'!$E$21</f>
        <v/>
      </c>
      <c r="G207" s="14">
        <f>'Nisan'!$F$21</f>
        <v/>
      </c>
      <c r="H207" s="14">
        <f>'Nisan'!$G$21</f>
        <v/>
      </c>
    </row>
    <row r="208">
      <c r="A208" s="9">
        <f>'Mayıs'!$A$21</f>
        <v/>
      </c>
      <c r="B208" s="10">
        <f>'Mayıs'!$B$21</f>
        <v/>
      </c>
      <c r="C208" s="9">
        <f>'Mayıs'!$C$21</f>
        <v/>
      </c>
      <c r="D208" s="9">
        <f>IF('Mayıs'!$B$21="","","Mayıs")</f>
        <v/>
      </c>
      <c r="E208" s="11">
        <f>'Mayıs'!$D$21</f>
        <v/>
      </c>
      <c r="F208" s="11">
        <f>'Mayıs'!$E$21</f>
        <v/>
      </c>
      <c r="G208" s="11">
        <f>'Mayıs'!$F$21</f>
        <v/>
      </c>
      <c r="H208" s="11">
        <f>'Mayıs'!$G$21</f>
        <v/>
      </c>
    </row>
    <row r="209">
      <c r="A209" s="12">
        <f>'Haziran'!$A$21</f>
        <v/>
      </c>
      <c r="B209" s="13">
        <f>'Haziran'!$B$21</f>
        <v/>
      </c>
      <c r="C209" s="12">
        <f>'Haziran'!$C$21</f>
        <v/>
      </c>
      <c r="D209" s="12">
        <f>IF('Haziran'!$B$21="","","Haziran")</f>
        <v/>
      </c>
      <c r="E209" s="14">
        <f>'Haziran'!$D$21</f>
        <v/>
      </c>
      <c r="F209" s="14">
        <f>'Haziran'!$E$21</f>
        <v/>
      </c>
      <c r="G209" s="14">
        <f>'Haziran'!$F$21</f>
        <v/>
      </c>
      <c r="H209" s="14">
        <f>'Haziran'!$G$21</f>
        <v/>
      </c>
    </row>
    <row r="210">
      <c r="A210" s="9">
        <f>'Temmuz'!$A$21</f>
        <v/>
      </c>
      <c r="B210" s="10">
        <f>'Temmuz'!$B$21</f>
        <v/>
      </c>
      <c r="C210" s="9">
        <f>'Temmuz'!$C$21</f>
        <v/>
      </c>
      <c r="D210" s="9">
        <f>IF('Temmuz'!$B$21="","","Temmuz")</f>
        <v/>
      </c>
      <c r="E210" s="11">
        <f>'Temmuz'!$D$21</f>
        <v/>
      </c>
      <c r="F210" s="11">
        <f>'Temmuz'!$E$21</f>
        <v/>
      </c>
      <c r="G210" s="11">
        <f>'Temmuz'!$F$21</f>
        <v/>
      </c>
      <c r="H210" s="11">
        <f>'Temmuz'!$G$21</f>
        <v/>
      </c>
    </row>
    <row r="211">
      <c r="A211" s="12">
        <f>'Ağustos'!$A$21</f>
        <v/>
      </c>
      <c r="B211" s="13">
        <f>'Ağustos'!$B$21</f>
        <v/>
      </c>
      <c r="C211" s="12">
        <f>'Ağustos'!$C$21</f>
        <v/>
      </c>
      <c r="D211" s="12">
        <f>IF('Ağustos'!$B$21="","","Ağustos")</f>
        <v/>
      </c>
      <c r="E211" s="14">
        <f>'Ağustos'!$D$21</f>
        <v/>
      </c>
      <c r="F211" s="14">
        <f>'Ağustos'!$E$21</f>
        <v/>
      </c>
      <c r="G211" s="14">
        <f>'Ağustos'!$F$21</f>
        <v/>
      </c>
      <c r="H211" s="14">
        <f>'Ağustos'!$G$21</f>
        <v/>
      </c>
    </row>
    <row r="212">
      <c r="A212" s="9">
        <f>'Eylül'!$A$21</f>
        <v/>
      </c>
      <c r="B212" s="10">
        <f>'Eylül'!$B$21</f>
        <v/>
      </c>
      <c r="C212" s="9">
        <f>'Eylül'!$C$21</f>
        <v/>
      </c>
      <c r="D212" s="9">
        <f>IF('Eylül'!$B$21="","","Eylül")</f>
        <v/>
      </c>
      <c r="E212" s="11">
        <f>'Eylül'!$D$21</f>
        <v/>
      </c>
      <c r="F212" s="11">
        <f>'Eylül'!$E$21</f>
        <v/>
      </c>
      <c r="G212" s="11">
        <f>'Eylül'!$F$21</f>
        <v/>
      </c>
      <c r="H212" s="11">
        <f>'Eylül'!$G$21</f>
        <v/>
      </c>
    </row>
    <row r="213">
      <c r="A213" s="12">
        <f>'Ekim'!$A$21</f>
        <v/>
      </c>
      <c r="B213" s="13">
        <f>'Ekim'!$B$21</f>
        <v/>
      </c>
      <c r="C213" s="12">
        <f>'Ekim'!$C$21</f>
        <v/>
      </c>
      <c r="D213" s="12">
        <f>IF('Ekim'!$B$21="","","Ekim")</f>
        <v/>
      </c>
      <c r="E213" s="14">
        <f>'Ekim'!$D$21</f>
        <v/>
      </c>
      <c r="F213" s="14">
        <f>'Ekim'!$E$21</f>
        <v/>
      </c>
      <c r="G213" s="14">
        <f>'Ekim'!$F$21</f>
        <v/>
      </c>
      <c r="H213" s="14">
        <f>'Ekim'!$G$21</f>
        <v/>
      </c>
    </row>
    <row r="214">
      <c r="A214" s="9">
        <f>'Kasım'!$A$21</f>
        <v/>
      </c>
      <c r="B214" s="10">
        <f>'Kasım'!$B$21</f>
        <v/>
      </c>
      <c r="C214" s="9">
        <f>'Kasım'!$C$21</f>
        <v/>
      </c>
      <c r="D214" s="9">
        <f>IF('Kasım'!$B$21="","","Kasım")</f>
        <v/>
      </c>
      <c r="E214" s="11">
        <f>'Kasım'!$D$21</f>
        <v/>
      </c>
      <c r="F214" s="11">
        <f>'Kasım'!$E$21</f>
        <v/>
      </c>
      <c r="G214" s="11">
        <f>'Kasım'!$F$21</f>
        <v/>
      </c>
      <c r="H214" s="11">
        <f>'Kasım'!$G$21</f>
        <v/>
      </c>
    </row>
    <row r="215">
      <c r="A215" s="12">
        <f>'Aralık'!$A$21</f>
        <v/>
      </c>
      <c r="B215" s="13">
        <f>'Aralık'!$B$21</f>
        <v/>
      </c>
      <c r="C215" s="12">
        <f>'Aralık'!$C$21</f>
        <v/>
      </c>
      <c r="D215" s="12">
        <f>IF('Aralık'!$B$21="","","Aralık")</f>
        <v/>
      </c>
      <c r="E215" s="14">
        <f>'Aralık'!$D$21</f>
        <v/>
      </c>
      <c r="F215" s="14">
        <f>'Aralık'!$E$21</f>
        <v/>
      </c>
      <c r="G215" s="14">
        <f>'Aralık'!$F$21</f>
        <v/>
      </c>
      <c r="H215" s="14">
        <f>'Aralık'!$G$21</f>
        <v/>
      </c>
    </row>
    <row r="216" ht="20" customHeight="1">
      <c r="A216" s="15">
        <f>$A$204</f>
        <v/>
      </c>
      <c r="B216" s="16">
        <f>$B$204</f>
        <v/>
      </c>
      <c r="C216" s="15">
        <f>$C$204</f>
        <v/>
      </c>
      <c r="D216" s="15">
        <f>IF($B$204="","","YILLIK TOPLAM")</f>
        <v/>
      </c>
      <c r="E216" s="17">
        <f>IF($B$204="","",SUM(E204:E215))</f>
        <v/>
      </c>
      <c r="F216" s="17">
        <f>IF($B$204="","",SUM(F204:F215))</f>
        <v/>
      </c>
      <c r="G216" s="17">
        <f>IF($B$204="","",SUM(G204:G215))</f>
        <v/>
      </c>
      <c r="H216" s="17">
        <f>IF($B$204="","",SUM(H204:H215))</f>
        <v/>
      </c>
    </row>
    <row r="217">
      <c r="A217" s="9">
        <f>'Ocak'!$A$22</f>
        <v/>
      </c>
      <c r="B217" s="10">
        <f>'Ocak'!$B$22</f>
        <v/>
      </c>
      <c r="C217" s="9">
        <f>'Ocak'!$C$22</f>
        <v/>
      </c>
      <c r="D217" s="9">
        <f>IF('Ocak'!$B$22="","","Ocak")</f>
        <v/>
      </c>
      <c r="E217" s="11">
        <f>'Ocak'!$D$22</f>
        <v/>
      </c>
      <c r="F217" s="11">
        <f>'Ocak'!$E$22</f>
        <v/>
      </c>
      <c r="G217" s="11">
        <f>'Ocak'!$F$22</f>
        <v/>
      </c>
      <c r="H217" s="11">
        <f>'Ocak'!$G$22</f>
        <v/>
      </c>
    </row>
    <row r="218">
      <c r="A218" s="12">
        <f>'Şubat'!$A$22</f>
        <v/>
      </c>
      <c r="B218" s="13">
        <f>'Şubat'!$B$22</f>
        <v/>
      </c>
      <c r="C218" s="12">
        <f>'Şubat'!$C$22</f>
        <v/>
      </c>
      <c r="D218" s="12">
        <f>IF('Şubat'!$B$22="","","Şubat")</f>
        <v/>
      </c>
      <c r="E218" s="14">
        <f>'Şubat'!$D$22</f>
        <v/>
      </c>
      <c r="F218" s="14">
        <f>'Şubat'!$E$22</f>
        <v/>
      </c>
      <c r="G218" s="14">
        <f>'Şubat'!$F$22</f>
        <v/>
      </c>
      <c r="H218" s="14">
        <f>'Şubat'!$G$22</f>
        <v/>
      </c>
    </row>
    <row r="219">
      <c r="A219" s="9">
        <f>'Mart'!$A$22</f>
        <v/>
      </c>
      <c r="B219" s="10">
        <f>'Mart'!$B$22</f>
        <v/>
      </c>
      <c r="C219" s="9">
        <f>'Mart'!$C$22</f>
        <v/>
      </c>
      <c r="D219" s="9">
        <f>IF('Mart'!$B$22="","","Mart")</f>
        <v/>
      </c>
      <c r="E219" s="11">
        <f>'Mart'!$D$22</f>
        <v/>
      </c>
      <c r="F219" s="11">
        <f>'Mart'!$E$22</f>
        <v/>
      </c>
      <c r="G219" s="11">
        <f>'Mart'!$F$22</f>
        <v/>
      </c>
      <c r="H219" s="11">
        <f>'Mart'!$G$22</f>
        <v/>
      </c>
    </row>
    <row r="220">
      <c r="A220" s="12">
        <f>'Nisan'!$A$22</f>
        <v/>
      </c>
      <c r="B220" s="13">
        <f>'Nisan'!$B$22</f>
        <v/>
      </c>
      <c r="C220" s="12">
        <f>'Nisan'!$C$22</f>
        <v/>
      </c>
      <c r="D220" s="12">
        <f>IF('Nisan'!$B$22="","","Nisan")</f>
        <v/>
      </c>
      <c r="E220" s="14">
        <f>'Nisan'!$D$22</f>
        <v/>
      </c>
      <c r="F220" s="14">
        <f>'Nisan'!$E$22</f>
        <v/>
      </c>
      <c r="G220" s="14">
        <f>'Nisan'!$F$22</f>
        <v/>
      </c>
      <c r="H220" s="14">
        <f>'Nisan'!$G$22</f>
        <v/>
      </c>
    </row>
    <row r="221">
      <c r="A221" s="9">
        <f>'Mayıs'!$A$22</f>
        <v/>
      </c>
      <c r="B221" s="10">
        <f>'Mayıs'!$B$22</f>
        <v/>
      </c>
      <c r="C221" s="9">
        <f>'Mayıs'!$C$22</f>
        <v/>
      </c>
      <c r="D221" s="9">
        <f>IF('Mayıs'!$B$22="","","Mayıs")</f>
        <v/>
      </c>
      <c r="E221" s="11">
        <f>'Mayıs'!$D$22</f>
        <v/>
      </c>
      <c r="F221" s="11">
        <f>'Mayıs'!$E$22</f>
        <v/>
      </c>
      <c r="G221" s="11">
        <f>'Mayıs'!$F$22</f>
        <v/>
      </c>
      <c r="H221" s="11">
        <f>'Mayıs'!$G$22</f>
        <v/>
      </c>
    </row>
    <row r="222">
      <c r="A222" s="12">
        <f>'Haziran'!$A$22</f>
        <v/>
      </c>
      <c r="B222" s="13">
        <f>'Haziran'!$B$22</f>
        <v/>
      </c>
      <c r="C222" s="12">
        <f>'Haziran'!$C$22</f>
        <v/>
      </c>
      <c r="D222" s="12">
        <f>IF('Haziran'!$B$22="","","Haziran")</f>
        <v/>
      </c>
      <c r="E222" s="14">
        <f>'Haziran'!$D$22</f>
        <v/>
      </c>
      <c r="F222" s="14">
        <f>'Haziran'!$E$22</f>
        <v/>
      </c>
      <c r="G222" s="14">
        <f>'Haziran'!$F$22</f>
        <v/>
      </c>
      <c r="H222" s="14">
        <f>'Haziran'!$G$22</f>
        <v/>
      </c>
    </row>
    <row r="223">
      <c r="A223" s="9">
        <f>'Temmuz'!$A$22</f>
        <v/>
      </c>
      <c r="B223" s="10">
        <f>'Temmuz'!$B$22</f>
        <v/>
      </c>
      <c r="C223" s="9">
        <f>'Temmuz'!$C$22</f>
        <v/>
      </c>
      <c r="D223" s="9">
        <f>IF('Temmuz'!$B$22="","","Temmuz")</f>
        <v/>
      </c>
      <c r="E223" s="11">
        <f>'Temmuz'!$D$22</f>
        <v/>
      </c>
      <c r="F223" s="11">
        <f>'Temmuz'!$E$22</f>
        <v/>
      </c>
      <c r="G223" s="11">
        <f>'Temmuz'!$F$22</f>
        <v/>
      </c>
      <c r="H223" s="11">
        <f>'Temmuz'!$G$22</f>
        <v/>
      </c>
    </row>
    <row r="224">
      <c r="A224" s="12">
        <f>'Ağustos'!$A$22</f>
        <v/>
      </c>
      <c r="B224" s="13">
        <f>'Ağustos'!$B$22</f>
        <v/>
      </c>
      <c r="C224" s="12">
        <f>'Ağustos'!$C$22</f>
        <v/>
      </c>
      <c r="D224" s="12">
        <f>IF('Ağustos'!$B$22="","","Ağustos")</f>
        <v/>
      </c>
      <c r="E224" s="14">
        <f>'Ağustos'!$D$22</f>
        <v/>
      </c>
      <c r="F224" s="14">
        <f>'Ağustos'!$E$22</f>
        <v/>
      </c>
      <c r="G224" s="14">
        <f>'Ağustos'!$F$22</f>
        <v/>
      </c>
      <c r="H224" s="14">
        <f>'Ağustos'!$G$22</f>
        <v/>
      </c>
    </row>
    <row r="225">
      <c r="A225" s="9">
        <f>'Eylül'!$A$22</f>
        <v/>
      </c>
      <c r="B225" s="10">
        <f>'Eylül'!$B$22</f>
        <v/>
      </c>
      <c r="C225" s="9">
        <f>'Eylül'!$C$22</f>
        <v/>
      </c>
      <c r="D225" s="9">
        <f>IF('Eylül'!$B$22="","","Eylül")</f>
        <v/>
      </c>
      <c r="E225" s="11">
        <f>'Eylül'!$D$22</f>
        <v/>
      </c>
      <c r="F225" s="11">
        <f>'Eylül'!$E$22</f>
        <v/>
      </c>
      <c r="G225" s="11">
        <f>'Eylül'!$F$22</f>
        <v/>
      </c>
      <c r="H225" s="11">
        <f>'Eylül'!$G$22</f>
        <v/>
      </c>
    </row>
    <row r="226">
      <c r="A226" s="12">
        <f>'Ekim'!$A$22</f>
        <v/>
      </c>
      <c r="B226" s="13">
        <f>'Ekim'!$B$22</f>
        <v/>
      </c>
      <c r="C226" s="12">
        <f>'Ekim'!$C$22</f>
        <v/>
      </c>
      <c r="D226" s="12">
        <f>IF('Ekim'!$B$22="","","Ekim")</f>
        <v/>
      </c>
      <c r="E226" s="14">
        <f>'Ekim'!$D$22</f>
        <v/>
      </c>
      <c r="F226" s="14">
        <f>'Ekim'!$E$22</f>
        <v/>
      </c>
      <c r="G226" s="14">
        <f>'Ekim'!$F$22</f>
        <v/>
      </c>
      <c r="H226" s="14">
        <f>'Ekim'!$G$22</f>
        <v/>
      </c>
    </row>
    <row r="227">
      <c r="A227" s="9">
        <f>'Kasım'!$A$22</f>
        <v/>
      </c>
      <c r="B227" s="10">
        <f>'Kasım'!$B$22</f>
        <v/>
      </c>
      <c r="C227" s="9">
        <f>'Kasım'!$C$22</f>
        <v/>
      </c>
      <c r="D227" s="9">
        <f>IF('Kasım'!$B$22="","","Kasım")</f>
        <v/>
      </c>
      <c r="E227" s="11">
        <f>'Kasım'!$D$22</f>
        <v/>
      </c>
      <c r="F227" s="11">
        <f>'Kasım'!$E$22</f>
        <v/>
      </c>
      <c r="G227" s="11">
        <f>'Kasım'!$F$22</f>
        <v/>
      </c>
      <c r="H227" s="11">
        <f>'Kasım'!$G$22</f>
        <v/>
      </c>
    </row>
    <row r="228">
      <c r="A228" s="12">
        <f>'Aralık'!$A$22</f>
        <v/>
      </c>
      <c r="B228" s="13">
        <f>'Aralık'!$B$22</f>
        <v/>
      </c>
      <c r="C228" s="12">
        <f>'Aralık'!$C$22</f>
        <v/>
      </c>
      <c r="D228" s="12">
        <f>IF('Aralık'!$B$22="","","Aralık")</f>
        <v/>
      </c>
      <c r="E228" s="14">
        <f>'Aralık'!$D$22</f>
        <v/>
      </c>
      <c r="F228" s="14">
        <f>'Aralık'!$E$22</f>
        <v/>
      </c>
      <c r="G228" s="14">
        <f>'Aralık'!$F$22</f>
        <v/>
      </c>
      <c r="H228" s="14">
        <f>'Aralık'!$G$22</f>
        <v/>
      </c>
    </row>
    <row r="229" ht="20" customHeight="1">
      <c r="A229" s="15">
        <f>$A$217</f>
        <v/>
      </c>
      <c r="B229" s="16">
        <f>$B$217</f>
        <v/>
      </c>
      <c r="C229" s="15">
        <f>$C$217</f>
        <v/>
      </c>
      <c r="D229" s="15">
        <f>IF($B$217="","","YILLIK TOPLAM")</f>
        <v/>
      </c>
      <c r="E229" s="17">
        <f>IF($B$217="","",SUM(E217:E228))</f>
        <v/>
      </c>
      <c r="F229" s="17">
        <f>IF($B$217="","",SUM(F217:F228))</f>
        <v/>
      </c>
      <c r="G229" s="17">
        <f>IF($B$217="","",SUM(G217:G228))</f>
        <v/>
      </c>
      <c r="H229" s="17">
        <f>IF($B$217="","",SUM(H217:H228))</f>
        <v/>
      </c>
    </row>
    <row r="230">
      <c r="A230" s="9">
        <f>'Ocak'!$A$23</f>
        <v/>
      </c>
      <c r="B230" s="10">
        <f>'Ocak'!$B$23</f>
        <v/>
      </c>
      <c r="C230" s="9">
        <f>'Ocak'!$C$23</f>
        <v/>
      </c>
      <c r="D230" s="9">
        <f>IF('Ocak'!$B$23="","","Ocak")</f>
        <v/>
      </c>
      <c r="E230" s="11">
        <f>'Ocak'!$D$23</f>
        <v/>
      </c>
      <c r="F230" s="11">
        <f>'Ocak'!$E$23</f>
        <v/>
      </c>
      <c r="G230" s="11">
        <f>'Ocak'!$F$23</f>
        <v/>
      </c>
      <c r="H230" s="11">
        <f>'Ocak'!$G$23</f>
        <v/>
      </c>
    </row>
    <row r="231">
      <c r="A231" s="12">
        <f>'Şubat'!$A$23</f>
        <v/>
      </c>
      <c r="B231" s="13">
        <f>'Şubat'!$B$23</f>
        <v/>
      </c>
      <c r="C231" s="12">
        <f>'Şubat'!$C$23</f>
        <v/>
      </c>
      <c r="D231" s="12">
        <f>IF('Şubat'!$B$23="","","Şubat")</f>
        <v/>
      </c>
      <c r="E231" s="14">
        <f>'Şubat'!$D$23</f>
        <v/>
      </c>
      <c r="F231" s="14">
        <f>'Şubat'!$E$23</f>
        <v/>
      </c>
      <c r="G231" s="14">
        <f>'Şubat'!$F$23</f>
        <v/>
      </c>
      <c r="H231" s="14">
        <f>'Şubat'!$G$23</f>
        <v/>
      </c>
    </row>
    <row r="232">
      <c r="A232" s="9">
        <f>'Mart'!$A$23</f>
        <v/>
      </c>
      <c r="B232" s="10">
        <f>'Mart'!$B$23</f>
        <v/>
      </c>
      <c r="C232" s="9">
        <f>'Mart'!$C$23</f>
        <v/>
      </c>
      <c r="D232" s="9">
        <f>IF('Mart'!$B$23="","","Mart")</f>
        <v/>
      </c>
      <c r="E232" s="11">
        <f>'Mart'!$D$23</f>
        <v/>
      </c>
      <c r="F232" s="11">
        <f>'Mart'!$E$23</f>
        <v/>
      </c>
      <c r="G232" s="11">
        <f>'Mart'!$F$23</f>
        <v/>
      </c>
      <c r="H232" s="11">
        <f>'Mart'!$G$23</f>
        <v/>
      </c>
    </row>
    <row r="233">
      <c r="A233" s="12">
        <f>'Nisan'!$A$23</f>
        <v/>
      </c>
      <c r="B233" s="13">
        <f>'Nisan'!$B$23</f>
        <v/>
      </c>
      <c r="C233" s="12">
        <f>'Nisan'!$C$23</f>
        <v/>
      </c>
      <c r="D233" s="12">
        <f>IF('Nisan'!$B$23="","","Nisan")</f>
        <v/>
      </c>
      <c r="E233" s="14">
        <f>'Nisan'!$D$23</f>
        <v/>
      </c>
      <c r="F233" s="14">
        <f>'Nisan'!$E$23</f>
        <v/>
      </c>
      <c r="G233" s="14">
        <f>'Nisan'!$F$23</f>
        <v/>
      </c>
      <c r="H233" s="14">
        <f>'Nisan'!$G$23</f>
        <v/>
      </c>
    </row>
    <row r="234">
      <c r="A234" s="9">
        <f>'Mayıs'!$A$23</f>
        <v/>
      </c>
      <c r="B234" s="10">
        <f>'Mayıs'!$B$23</f>
        <v/>
      </c>
      <c r="C234" s="9">
        <f>'Mayıs'!$C$23</f>
        <v/>
      </c>
      <c r="D234" s="9">
        <f>IF('Mayıs'!$B$23="","","Mayıs")</f>
        <v/>
      </c>
      <c r="E234" s="11">
        <f>'Mayıs'!$D$23</f>
        <v/>
      </c>
      <c r="F234" s="11">
        <f>'Mayıs'!$E$23</f>
        <v/>
      </c>
      <c r="G234" s="11">
        <f>'Mayıs'!$F$23</f>
        <v/>
      </c>
      <c r="H234" s="11">
        <f>'Mayıs'!$G$23</f>
        <v/>
      </c>
    </row>
    <row r="235">
      <c r="A235" s="12">
        <f>'Haziran'!$A$23</f>
        <v/>
      </c>
      <c r="B235" s="13">
        <f>'Haziran'!$B$23</f>
        <v/>
      </c>
      <c r="C235" s="12">
        <f>'Haziran'!$C$23</f>
        <v/>
      </c>
      <c r="D235" s="12">
        <f>IF('Haziran'!$B$23="","","Haziran")</f>
        <v/>
      </c>
      <c r="E235" s="14">
        <f>'Haziran'!$D$23</f>
        <v/>
      </c>
      <c r="F235" s="14">
        <f>'Haziran'!$E$23</f>
        <v/>
      </c>
      <c r="G235" s="14">
        <f>'Haziran'!$F$23</f>
        <v/>
      </c>
      <c r="H235" s="14">
        <f>'Haziran'!$G$23</f>
        <v/>
      </c>
    </row>
    <row r="236">
      <c r="A236" s="9">
        <f>'Temmuz'!$A$23</f>
        <v/>
      </c>
      <c r="B236" s="10">
        <f>'Temmuz'!$B$23</f>
        <v/>
      </c>
      <c r="C236" s="9">
        <f>'Temmuz'!$C$23</f>
        <v/>
      </c>
      <c r="D236" s="9">
        <f>IF('Temmuz'!$B$23="","","Temmuz")</f>
        <v/>
      </c>
      <c r="E236" s="11">
        <f>'Temmuz'!$D$23</f>
        <v/>
      </c>
      <c r="F236" s="11">
        <f>'Temmuz'!$E$23</f>
        <v/>
      </c>
      <c r="G236" s="11">
        <f>'Temmuz'!$F$23</f>
        <v/>
      </c>
      <c r="H236" s="11">
        <f>'Temmuz'!$G$23</f>
        <v/>
      </c>
    </row>
    <row r="237">
      <c r="A237" s="12">
        <f>'Ağustos'!$A$23</f>
        <v/>
      </c>
      <c r="B237" s="13">
        <f>'Ağustos'!$B$23</f>
        <v/>
      </c>
      <c r="C237" s="12">
        <f>'Ağustos'!$C$23</f>
        <v/>
      </c>
      <c r="D237" s="12">
        <f>IF('Ağustos'!$B$23="","","Ağustos")</f>
        <v/>
      </c>
      <c r="E237" s="14">
        <f>'Ağustos'!$D$23</f>
        <v/>
      </c>
      <c r="F237" s="14">
        <f>'Ağustos'!$E$23</f>
        <v/>
      </c>
      <c r="G237" s="14">
        <f>'Ağustos'!$F$23</f>
        <v/>
      </c>
      <c r="H237" s="14">
        <f>'Ağustos'!$G$23</f>
        <v/>
      </c>
    </row>
    <row r="238">
      <c r="A238" s="9">
        <f>'Eylül'!$A$23</f>
        <v/>
      </c>
      <c r="B238" s="10">
        <f>'Eylül'!$B$23</f>
        <v/>
      </c>
      <c r="C238" s="9">
        <f>'Eylül'!$C$23</f>
        <v/>
      </c>
      <c r="D238" s="9">
        <f>IF('Eylül'!$B$23="","","Eylül")</f>
        <v/>
      </c>
      <c r="E238" s="11">
        <f>'Eylül'!$D$23</f>
        <v/>
      </c>
      <c r="F238" s="11">
        <f>'Eylül'!$E$23</f>
        <v/>
      </c>
      <c r="G238" s="11">
        <f>'Eylül'!$F$23</f>
        <v/>
      </c>
      <c r="H238" s="11">
        <f>'Eylül'!$G$23</f>
        <v/>
      </c>
    </row>
    <row r="239">
      <c r="A239" s="12">
        <f>'Ekim'!$A$23</f>
        <v/>
      </c>
      <c r="B239" s="13">
        <f>'Ekim'!$B$23</f>
        <v/>
      </c>
      <c r="C239" s="12">
        <f>'Ekim'!$C$23</f>
        <v/>
      </c>
      <c r="D239" s="12">
        <f>IF('Ekim'!$B$23="","","Ekim")</f>
        <v/>
      </c>
      <c r="E239" s="14">
        <f>'Ekim'!$D$23</f>
        <v/>
      </c>
      <c r="F239" s="14">
        <f>'Ekim'!$E$23</f>
        <v/>
      </c>
      <c r="G239" s="14">
        <f>'Ekim'!$F$23</f>
        <v/>
      </c>
      <c r="H239" s="14">
        <f>'Ekim'!$G$23</f>
        <v/>
      </c>
    </row>
    <row r="240">
      <c r="A240" s="9">
        <f>'Kasım'!$A$23</f>
        <v/>
      </c>
      <c r="B240" s="10">
        <f>'Kasım'!$B$23</f>
        <v/>
      </c>
      <c r="C240" s="9">
        <f>'Kasım'!$C$23</f>
        <v/>
      </c>
      <c r="D240" s="9">
        <f>IF('Kasım'!$B$23="","","Kasım")</f>
        <v/>
      </c>
      <c r="E240" s="11">
        <f>'Kasım'!$D$23</f>
        <v/>
      </c>
      <c r="F240" s="11">
        <f>'Kasım'!$E$23</f>
        <v/>
      </c>
      <c r="G240" s="11">
        <f>'Kasım'!$F$23</f>
        <v/>
      </c>
      <c r="H240" s="11">
        <f>'Kasım'!$G$23</f>
        <v/>
      </c>
    </row>
    <row r="241">
      <c r="A241" s="12">
        <f>'Aralık'!$A$23</f>
        <v/>
      </c>
      <c r="B241" s="13">
        <f>'Aralık'!$B$23</f>
        <v/>
      </c>
      <c r="C241" s="12">
        <f>'Aralık'!$C$23</f>
        <v/>
      </c>
      <c r="D241" s="12">
        <f>IF('Aralık'!$B$23="","","Aralık")</f>
        <v/>
      </c>
      <c r="E241" s="14">
        <f>'Aralık'!$D$23</f>
        <v/>
      </c>
      <c r="F241" s="14">
        <f>'Aralık'!$E$23</f>
        <v/>
      </c>
      <c r="G241" s="14">
        <f>'Aralık'!$F$23</f>
        <v/>
      </c>
      <c r="H241" s="14">
        <f>'Aralık'!$G$23</f>
        <v/>
      </c>
    </row>
    <row r="242" ht="20" customHeight="1">
      <c r="A242" s="15">
        <f>$A$230</f>
        <v/>
      </c>
      <c r="B242" s="16">
        <f>$B$230</f>
        <v/>
      </c>
      <c r="C242" s="15">
        <f>$C$230</f>
        <v/>
      </c>
      <c r="D242" s="15">
        <f>IF($B$230="","","YILLIK TOPLAM")</f>
        <v/>
      </c>
      <c r="E242" s="17">
        <f>IF($B$230="","",SUM(E230:E241))</f>
        <v/>
      </c>
      <c r="F242" s="17">
        <f>IF($B$230="","",SUM(F230:F241))</f>
        <v/>
      </c>
      <c r="G242" s="17">
        <f>IF($B$230="","",SUM(G230:G241))</f>
        <v/>
      </c>
      <c r="H242" s="17">
        <f>IF($B$230="","",SUM(H230:H241))</f>
        <v/>
      </c>
    </row>
    <row r="243">
      <c r="A243" s="9">
        <f>'Ocak'!$A$24</f>
        <v/>
      </c>
      <c r="B243" s="10">
        <f>'Ocak'!$B$24</f>
        <v/>
      </c>
      <c r="C243" s="9">
        <f>'Ocak'!$C$24</f>
        <v/>
      </c>
      <c r="D243" s="9">
        <f>IF('Ocak'!$B$24="","","Ocak")</f>
        <v/>
      </c>
      <c r="E243" s="11">
        <f>'Ocak'!$D$24</f>
        <v/>
      </c>
      <c r="F243" s="11">
        <f>'Ocak'!$E$24</f>
        <v/>
      </c>
      <c r="G243" s="11">
        <f>'Ocak'!$F$24</f>
        <v/>
      </c>
      <c r="H243" s="11">
        <f>'Ocak'!$G$24</f>
        <v/>
      </c>
    </row>
    <row r="244">
      <c r="A244" s="12">
        <f>'Şubat'!$A$24</f>
        <v/>
      </c>
      <c r="B244" s="13">
        <f>'Şubat'!$B$24</f>
        <v/>
      </c>
      <c r="C244" s="12">
        <f>'Şubat'!$C$24</f>
        <v/>
      </c>
      <c r="D244" s="12">
        <f>IF('Şubat'!$B$24="","","Şubat")</f>
        <v/>
      </c>
      <c r="E244" s="14">
        <f>'Şubat'!$D$24</f>
        <v/>
      </c>
      <c r="F244" s="14">
        <f>'Şubat'!$E$24</f>
        <v/>
      </c>
      <c r="G244" s="14">
        <f>'Şubat'!$F$24</f>
        <v/>
      </c>
      <c r="H244" s="14">
        <f>'Şubat'!$G$24</f>
        <v/>
      </c>
    </row>
    <row r="245">
      <c r="A245" s="9">
        <f>'Mart'!$A$24</f>
        <v/>
      </c>
      <c r="B245" s="10">
        <f>'Mart'!$B$24</f>
        <v/>
      </c>
      <c r="C245" s="9">
        <f>'Mart'!$C$24</f>
        <v/>
      </c>
      <c r="D245" s="9">
        <f>IF('Mart'!$B$24="","","Mart")</f>
        <v/>
      </c>
      <c r="E245" s="11">
        <f>'Mart'!$D$24</f>
        <v/>
      </c>
      <c r="F245" s="11">
        <f>'Mart'!$E$24</f>
        <v/>
      </c>
      <c r="G245" s="11">
        <f>'Mart'!$F$24</f>
        <v/>
      </c>
      <c r="H245" s="11">
        <f>'Mart'!$G$24</f>
        <v/>
      </c>
    </row>
    <row r="246">
      <c r="A246" s="12">
        <f>'Nisan'!$A$24</f>
        <v/>
      </c>
      <c r="B246" s="13">
        <f>'Nisan'!$B$24</f>
        <v/>
      </c>
      <c r="C246" s="12">
        <f>'Nisan'!$C$24</f>
        <v/>
      </c>
      <c r="D246" s="12">
        <f>IF('Nisan'!$B$24="","","Nisan")</f>
        <v/>
      </c>
      <c r="E246" s="14">
        <f>'Nisan'!$D$24</f>
        <v/>
      </c>
      <c r="F246" s="14">
        <f>'Nisan'!$E$24</f>
        <v/>
      </c>
      <c r="G246" s="14">
        <f>'Nisan'!$F$24</f>
        <v/>
      </c>
      <c r="H246" s="14">
        <f>'Nisan'!$G$24</f>
        <v/>
      </c>
    </row>
    <row r="247">
      <c r="A247" s="9">
        <f>'Mayıs'!$A$24</f>
        <v/>
      </c>
      <c r="B247" s="10">
        <f>'Mayıs'!$B$24</f>
        <v/>
      </c>
      <c r="C247" s="9">
        <f>'Mayıs'!$C$24</f>
        <v/>
      </c>
      <c r="D247" s="9">
        <f>IF('Mayıs'!$B$24="","","Mayıs")</f>
        <v/>
      </c>
      <c r="E247" s="11">
        <f>'Mayıs'!$D$24</f>
        <v/>
      </c>
      <c r="F247" s="11">
        <f>'Mayıs'!$E$24</f>
        <v/>
      </c>
      <c r="G247" s="11">
        <f>'Mayıs'!$F$24</f>
        <v/>
      </c>
      <c r="H247" s="11">
        <f>'Mayıs'!$G$24</f>
        <v/>
      </c>
    </row>
    <row r="248">
      <c r="A248" s="12">
        <f>'Haziran'!$A$24</f>
        <v/>
      </c>
      <c r="B248" s="13">
        <f>'Haziran'!$B$24</f>
        <v/>
      </c>
      <c r="C248" s="12">
        <f>'Haziran'!$C$24</f>
        <v/>
      </c>
      <c r="D248" s="12">
        <f>IF('Haziran'!$B$24="","","Haziran")</f>
        <v/>
      </c>
      <c r="E248" s="14">
        <f>'Haziran'!$D$24</f>
        <v/>
      </c>
      <c r="F248" s="14">
        <f>'Haziran'!$E$24</f>
        <v/>
      </c>
      <c r="G248" s="14">
        <f>'Haziran'!$F$24</f>
        <v/>
      </c>
      <c r="H248" s="14">
        <f>'Haziran'!$G$24</f>
        <v/>
      </c>
    </row>
    <row r="249">
      <c r="A249" s="9">
        <f>'Temmuz'!$A$24</f>
        <v/>
      </c>
      <c r="B249" s="10">
        <f>'Temmuz'!$B$24</f>
        <v/>
      </c>
      <c r="C249" s="9">
        <f>'Temmuz'!$C$24</f>
        <v/>
      </c>
      <c r="D249" s="9">
        <f>IF('Temmuz'!$B$24="","","Temmuz")</f>
        <v/>
      </c>
      <c r="E249" s="11">
        <f>'Temmuz'!$D$24</f>
        <v/>
      </c>
      <c r="F249" s="11">
        <f>'Temmuz'!$E$24</f>
        <v/>
      </c>
      <c r="G249" s="11">
        <f>'Temmuz'!$F$24</f>
        <v/>
      </c>
      <c r="H249" s="11">
        <f>'Temmuz'!$G$24</f>
        <v/>
      </c>
    </row>
    <row r="250">
      <c r="A250" s="12">
        <f>'Ağustos'!$A$24</f>
        <v/>
      </c>
      <c r="B250" s="13">
        <f>'Ağustos'!$B$24</f>
        <v/>
      </c>
      <c r="C250" s="12">
        <f>'Ağustos'!$C$24</f>
        <v/>
      </c>
      <c r="D250" s="12">
        <f>IF('Ağustos'!$B$24="","","Ağustos")</f>
        <v/>
      </c>
      <c r="E250" s="14">
        <f>'Ağustos'!$D$24</f>
        <v/>
      </c>
      <c r="F250" s="14">
        <f>'Ağustos'!$E$24</f>
        <v/>
      </c>
      <c r="G250" s="14">
        <f>'Ağustos'!$F$24</f>
        <v/>
      </c>
      <c r="H250" s="14">
        <f>'Ağustos'!$G$24</f>
        <v/>
      </c>
    </row>
    <row r="251">
      <c r="A251" s="9">
        <f>'Eylül'!$A$24</f>
        <v/>
      </c>
      <c r="B251" s="10">
        <f>'Eylül'!$B$24</f>
        <v/>
      </c>
      <c r="C251" s="9">
        <f>'Eylül'!$C$24</f>
        <v/>
      </c>
      <c r="D251" s="9">
        <f>IF('Eylül'!$B$24="","","Eylül")</f>
        <v/>
      </c>
      <c r="E251" s="11">
        <f>'Eylül'!$D$24</f>
        <v/>
      </c>
      <c r="F251" s="11">
        <f>'Eylül'!$E$24</f>
        <v/>
      </c>
      <c r="G251" s="11">
        <f>'Eylül'!$F$24</f>
        <v/>
      </c>
      <c r="H251" s="11">
        <f>'Eylül'!$G$24</f>
        <v/>
      </c>
    </row>
    <row r="252">
      <c r="A252" s="12">
        <f>'Ekim'!$A$24</f>
        <v/>
      </c>
      <c r="B252" s="13">
        <f>'Ekim'!$B$24</f>
        <v/>
      </c>
      <c r="C252" s="12">
        <f>'Ekim'!$C$24</f>
        <v/>
      </c>
      <c r="D252" s="12">
        <f>IF('Ekim'!$B$24="","","Ekim")</f>
        <v/>
      </c>
      <c r="E252" s="14">
        <f>'Ekim'!$D$24</f>
        <v/>
      </c>
      <c r="F252" s="14">
        <f>'Ekim'!$E$24</f>
        <v/>
      </c>
      <c r="G252" s="14">
        <f>'Ekim'!$F$24</f>
        <v/>
      </c>
      <c r="H252" s="14">
        <f>'Ekim'!$G$24</f>
        <v/>
      </c>
    </row>
    <row r="253">
      <c r="A253" s="9">
        <f>'Kasım'!$A$24</f>
        <v/>
      </c>
      <c r="B253" s="10">
        <f>'Kasım'!$B$24</f>
        <v/>
      </c>
      <c r="C253" s="9">
        <f>'Kasım'!$C$24</f>
        <v/>
      </c>
      <c r="D253" s="9">
        <f>IF('Kasım'!$B$24="","","Kasım")</f>
        <v/>
      </c>
      <c r="E253" s="11">
        <f>'Kasım'!$D$24</f>
        <v/>
      </c>
      <c r="F253" s="11">
        <f>'Kasım'!$E$24</f>
        <v/>
      </c>
      <c r="G253" s="11">
        <f>'Kasım'!$F$24</f>
        <v/>
      </c>
      <c r="H253" s="11">
        <f>'Kasım'!$G$24</f>
        <v/>
      </c>
    </row>
    <row r="254">
      <c r="A254" s="12">
        <f>'Aralık'!$A$24</f>
        <v/>
      </c>
      <c r="B254" s="13">
        <f>'Aralık'!$B$24</f>
        <v/>
      </c>
      <c r="C254" s="12">
        <f>'Aralık'!$C$24</f>
        <v/>
      </c>
      <c r="D254" s="12">
        <f>IF('Aralık'!$B$24="","","Aralık")</f>
        <v/>
      </c>
      <c r="E254" s="14">
        <f>'Aralık'!$D$24</f>
        <v/>
      </c>
      <c r="F254" s="14">
        <f>'Aralık'!$E$24</f>
        <v/>
      </c>
      <c r="G254" s="14">
        <f>'Aralık'!$F$24</f>
        <v/>
      </c>
      <c r="H254" s="14">
        <f>'Aralık'!$G$24</f>
        <v/>
      </c>
    </row>
    <row r="255" ht="20" customHeight="1">
      <c r="A255" s="15">
        <f>$A$243</f>
        <v/>
      </c>
      <c r="B255" s="16">
        <f>$B$243</f>
        <v/>
      </c>
      <c r="C255" s="15">
        <f>$C$243</f>
        <v/>
      </c>
      <c r="D255" s="15">
        <f>IF($B$243="","","YILLIK TOPLAM")</f>
        <v/>
      </c>
      <c r="E255" s="17">
        <f>IF($B$243="","",SUM(E243:E254))</f>
        <v/>
      </c>
      <c r="F255" s="17">
        <f>IF($B$243="","",SUM(F243:F254))</f>
        <v/>
      </c>
      <c r="G255" s="17">
        <f>IF($B$243="","",SUM(G243:G254))</f>
        <v/>
      </c>
      <c r="H255" s="17">
        <f>IF($B$243="","",SUM(H243:H254))</f>
        <v/>
      </c>
    </row>
    <row r="256">
      <c r="A256" s="9">
        <f>'Ocak'!$A$25</f>
        <v/>
      </c>
      <c r="B256" s="10">
        <f>'Ocak'!$B$25</f>
        <v/>
      </c>
      <c r="C256" s="9">
        <f>'Ocak'!$C$25</f>
        <v/>
      </c>
      <c r="D256" s="9">
        <f>IF('Ocak'!$B$25="","","Ocak")</f>
        <v/>
      </c>
      <c r="E256" s="11">
        <f>'Ocak'!$D$25</f>
        <v/>
      </c>
      <c r="F256" s="11">
        <f>'Ocak'!$E$25</f>
        <v/>
      </c>
      <c r="G256" s="11">
        <f>'Ocak'!$F$25</f>
        <v/>
      </c>
      <c r="H256" s="11">
        <f>'Ocak'!$G$25</f>
        <v/>
      </c>
    </row>
    <row r="257">
      <c r="A257" s="12">
        <f>'Şubat'!$A$25</f>
        <v/>
      </c>
      <c r="B257" s="13">
        <f>'Şubat'!$B$25</f>
        <v/>
      </c>
      <c r="C257" s="12">
        <f>'Şubat'!$C$25</f>
        <v/>
      </c>
      <c r="D257" s="12">
        <f>IF('Şubat'!$B$25="","","Şubat")</f>
        <v/>
      </c>
      <c r="E257" s="14">
        <f>'Şubat'!$D$25</f>
        <v/>
      </c>
      <c r="F257" s="14">
        <f>'Şubat'!$E$25</f>
        <v/>
      </c>
      <c r="G257" s="14">
        <f>'Şubat'!$F$25</f>
        <v/>
      </c>
      <c r="H257" s="14">
        <f>'Şubat'!$G$25</f>
        <v/>
      </c>
    </row>
    <row r="258">
      <c r="A258" s="9">
        <f>'Mart'!$A$25</f>
        <v/>
      </c>
      <c r="B258" s="10">
        <f>'Mart'!$B$25</f>
        <v/>
      </c>
      <c r="C258" s="9">
        <f>'Mart'!$C$25</f>
        <v/>
      </c>
      <c r="D258" s="9">
        <f>IF('Mart'!$B$25="","","Mart")</f>
        <v/>
      </c>
      <c r="E258" s="11">
        <f>'Mart'!$D$25</f>
        <v/>
      </c>
      <c r="F258" s="11">
        <f>'Mart'!$E$25</f>
        <v/>
      </c>
      <c r="G258" s="11">
        <f>'Mart'!$F$25</f>
        <v/>
      </c>
      <c r="H258" s="11">
        <f>'Mart'!$G$25</f>
        <v/>
      </c>
    </row>
    <row r="259">
      <c r="A259" s="12">
        <f>'Nisan'!$A$25</f>
        <v/>
      </c>
      <c r="B259" s="13">
        <f>'Nisan'!$B$25</f>
        <v/>
      </c>
      <c r="C259" s="12">
        <f>'Nisan'!$C$25</f>
        <v/>
      </c>
      <c r="D259" s="12">
        <f>IF('Nisan'!$B$25="","","Nisan")</f>
        <v/>
      </c>
      <c r="E259" s="14">
        <f>'Nisan'!$D$25</f>
        <v/>
      </c>
      <c r="F259" s="14">
        <f>'Nisan'!$E$25</f>
        <v/>
      </c>
      <c r="G259" s="14">
        <f>'Nisan'!$F$25</f>
        <v/>
      </c>
      <c r="H259" s="14">
        <f>'Nisan'!$G$25</f>
        <v/>
      </c>
    </row>
    <row r="260">
      <c r="A260" s="9">
        <f>'Mayıs'!$A$25</f>
        <v/>
      </c>
      <c r="B260" s="10">
        <f>'Mayıs'!$B$25</f>
        <v/>
      </c>
      <c r="C260" s="9">
        <f>'Mayıs'!$C$25</f>
        <v/>
      </c>
      <c r="D260" s="9">
        <f>IF('Mayıs'!$B$25="","","Mayıs")</f>
        <v/>
      </c>
      <c r="E260" s="11">
        <f>'Mayıs'!$D$25</f>
        <v/>
      </c>
      <c r="F260" s="11">
        <f>'Mayıs'!$E$25</f>
        <v/>
      </c>
      <c r="G260" s="11">
        <f>'Mayıs'!$F$25</f>
        <v/>
      </c>
      <c r="H260" s="11">
        <f>'Mayıs'!$G$25</f>
        <v/>
      </c>
    </row>
    <row r="261">
      <c r="A261" s="12">
        <f>'Haziran'!$A$25</f>
        <v/>
      </c>
      <c r="B261" s="13">
        <f>'Haziran'!$B$25</f>
        <v/>
      </c>
      <c r="C261" s="12">
        <f>'Haziran'!$C$25</f>
        <v/>
      </c>
      <c r="D261" s="12">
        <f>IF('Haziran'!$B$25="","","Haziran")</f>
        <v/>
      </c>
      <c r="E261" s="14">
        <f>'Haziran'!$D$25</f>
        <v/>
      </c>
      <c r="F261" s="14">
        <f>'Haziran'!$E$25</f>
        <v/>
      </c>
      <c r="G261" s="14">
        <f>'Haziran'!$F$25</f>
        <v/>
      </c>
      <c r="H261" s="14">
        <f>'Haziran'!$G$25</f>
        <v/>
      </c>
    </row>
    <row r="262">
      <c r="A262" s="9">
        <f>'Temmuz'!$A$25</f>
        <v/>
      </c>
      <c r="B262" s="10">
        <f>'Temmuz'!$B$25</f>
        <v/>
      </c>
      <c r="C262" s="9">
        <f>'Temmuz'!$C$25</f>
        <v/>
      </c>
      <c r="D262" s="9">
        <f>IF('Temmuz'!$B$25="","","Temmuz")</f>
        <v/>
      </c>
      <c r="E262" s="11">
        <f>'Temmuz'!$D$25</f>
        <v/>
      </c>
      <c r="F262" s="11">
        <f>'Temmuz'!$E$25</f>
        <v/>
      </c>
      <c r="G262" s="11">
        <f>'Temmuz'!$F$25</f>
        <v/>
      </c>
      <c r="H262" s="11">
        <f>'Temmuz'!$G$25</f>
        <v/>
      </c>
    </row>
    <row r="263">
      <c r="A263" s="12">
        <f>'Ağustos'!$A$25</f>
        <v/>
      </c>
      <c r="B263" s="13">
        <f>'Ağustos'!$B$25</f>
        <v/>
      </c>
      <c r="C263" s="12">
        <f>'Ağustos'!$C$25</f>
        <v/>
      </c>
      <c r="D263" s="12">
        <f>IF('Ağustos'!$B$25="","","Ağustos")</f>
        <v/>
      </c>
      <c r="E263" s="14">
        <f>'Ağustos'!$D$25</f>
        <v/>
      </c>
      <c r="F263" s="14">
        <f>'Ağustos'!$E$25</f>
        <v/>
      </c>
      <c r="G263" s="14">
        <f>'Ağustos'!$F$25</f>
        <v/>
      </c>
      <c r="H263" s="14">
        <f>'Ağustos'!$G$25</f>
        <v/>
      </c>
    </row>
    <row r="264">
      <c r="A264" s="9">
        <f>'Eylül'!$A$25</f>
        <v/>
      </c>
      <c r="B264" s="10">
        <f>'Eylül'!$B$25</f>
        <v/>
      </c>
      <c r="C264" s="9">
        <f>'Eylül'!$C$25</f>
        <v/>
      </c>
      <c r="D264" s="9">
        <f>IF('Eylül'!$B$25="","","Eylül")</f>
        <v/>
      </c>
      <c r="E264" s="11">
        <f>'Eylül'!$D$25</f>
        <v/>
      </c>
      <c r="F264" s="11">
        <f>'Eylül'!$E$25</f>
        <v/>
      </c>
      <c r="G264" s="11">
        <f>'Eylül'!$F$25</f>
        <v/>
      </c>
      <c r="H264" s="11">
        <f>'Eylül'!$G$25</f>
        <v/>
      </c>
    </row>
    <row r="265">
      <c r="A265" s="12">
        <f>'Ekim'!$A$25</f>
        <v/>
      </c>
      <c r="B265" s="13">
        <f>'Ekim'!$B$25</f>
        <v/>
      </c>
      <c r="C265" s="12">
        <f>'Ekim'!$C$25</f>
        <v/>
      </c>
      <c r="D265" s="12">
        <f>IF('Ekim'!$B$25="","","Ekim")</f>
        <v/>
      </c>
      <c r="E265" s="14">
        <f>'Ekim'!$D$25</f>
        <v/>
      </c>
      <c r="F265" s="14">
        <f>'Ekim'!$E$25</f>
        <v/>
      </c>
      <c r="G265" s="14">
        <f>'Ekim'!$F$25</f>
        <v/>
      </c>
      <c r="H265" s="14">
        <f>'Ekim'!$G$25</f>
        <v/>
      </c>
    </row>
    <row r="266">
      <c r="A266" s="9">
        <f>'Kasım'!$A$25</f>
        <v/>
      </c>
      <c r="B266" s="10">
        <f>'Kasım'!$B$25</f>
        <v/>
      </c>
      <c r="C266" s="9">
        <f>'Kasım'!$C$25</f>
        <v/>
      </c>
      <c r="D266" s="9">
        <f>IF('Kasım'!$B$25="","","Kasım")</f>
        <v/>
      </c>
      <c r="E266" s="11">
        <f>'Kasım'!$D$25</f>
        <v/>
      </c>
      <c r="F266" s="11">
        <f>'Kasım'!$E$25</f>
        <v/>
      </c>
      <c r="G266" s="11">
        <f>'Kasım'!$F$25</f>
        <v/>
      </c>
      <c r="H266" s="11">
        <f>'Kasım'!$G$25</f>
        <v/>
      </c>
    </row>
    <row r="267">
      <c r="A267" s="12">
        <f>'Aralık'!$A$25</f>
        <v/>
      </c>
      <c r="B267" s="13">
        <f>'Aralık'!$B$25</f>
        <v/>
      </c>
      <c r="C267" s="12">
        <f>'Aralık'!$C$25</f>
        <v/>
      </c>
      <c r="D267" s="12">
        <f>IF('Aralık'!$B$25="","","Aralık")</f>
        <v/>
      </c>
      <c r="E267" s="14">
        <f>'Aralık'!$D$25</f>
        <v/>
      </c>
      <c r="F267" s="14">
        <f>'Aralık'!$E$25</f>
        <v/>
      </c>
      <c r="G267" s="14">
        <f>'Aralık'!$F$25</f>
        <v/>
      </c>
      <c r="H267" s="14">
        <f>'Aralık'!$G$25</f>
        <v/>
      </c>
    </row>
    <row r="268" ht="20" customHeight="1">
      <c r="A268" s="15">
        <f>$A$256</f>
        <v/>
      </c>
      <c r="B268" s="16">
        <f>$B$256</f>
        <v/>
      </c>
      <c r="C268" s="15">
        <f>$C$256</f>
        <v/>
      </c>
      <c r="D268" s="15">
        <f>IF($B$256="","","YILLIK TOPLAM")</f>
        <v/>
      </c>
      <c r="E268" s="17">
        <f>IF($B$256="","",SUM(E256:E267))</f>
        <v/>
      </c>
      <c r="F268" s="17">
        <f>IF($B$256="","",SUM(F256:F267))</f>
        <v/>
      </c>
      <c r="G268" s="17">
        <f>IF($B$256="","",SUM(G256:G267))</f>
        <v/>
      </c>
      <c r="H268" s="17">
        <f>IF($B$256="","",SUM(H256:H267))</f>
        <v/>
      </c>
    </row>
    <row r="269">
      <c r="A269" s="9">
        <f>'Ocak'!$A$26</f>
        <v/>
      </c>
      <c r="B269" s="10">
        <f>'Ocak'!$B$26</f>
        <v/>
      </c>
      <c r="C269" s="9">
        <f>'Ocak'!$C$26</f>
        <v/>
      </c>
      <c r="D269" s="9">
        <f>IF('Ocak'!$B$26="","","Ocak")</f>
        <v/>
      </c>
      <c r="E269" s="11">
        <f>'Ocak'!$D$26</f>
        <v/>
      </c>
      <c r="F269" s="11">
        <f>'Ocak'!$E$26</f>
        <v/>
      </c>
      <c r="G269" s="11">
        <f>'Ocak'!$F$26</f>
        <v/>
      </c>
      <c r="H269" s="11">
        <f>'Ocak'!$G$26</f>
        <v/>
      </c>
    </row>
    <row r="270">
      <c r="A270" s="12">
        <f>'Şubat'!$A$26</f>
        <v/>
      </c>
      <c r="B270" s="13">
        <f>'Şubat'!$B$26</f>
        <v/>
      </c>
      <c r="C270" s="12">
        <f>'Şubat'!$C$26</f>
        <v/>
      </c>
      <c r="D270" s="12">
        <f>IF('Şubat'!$B$26="","","Şubat")</f>
        <v/>
      </c>
      <c r="E270" s="14">
        <f>'Şubat'!$D$26</f>
        <v/>
      </c>
      <c r="F270" s="14">
        <f>'Şubat'!$E$26</f>
        <v/>
      </c>
      <c r="G270" s="14">
        <f>'Şubat'!$F$26</f>
        <v/>
      </c>
      <c r="H270" s="14">
        <f>'Şubat'!$G$26</f>
        <v/>
      </c>
    </row>
    <row r="271">
      <c r="A271" s="9">
        <f>'Mart'!$A$26</f>
        <v/>
      </c>
      <c r="B271" s="10">
        <f>'Mart'!$B$26</f>
        <v/>
      </c>
      <c r="C271" s="9">
        <f>'Mart'!$C$26</f>
        <v/>
      </c>
      <c r="D271" s="9">
        <f>IF('Mart'!$B$26="","","Mart")</f>
        <v/>
      </c>
      <c r="E271" s="11">
        <f>'Mart'!$D$26</f>
        <v/>
      </c>
      <c r="F271" s="11">
        <f>'Mart'!$E$26</f>
        <v/>
      </c>
      <c r="G271" s="11">
        <f>'Mart'!$F$26</f>
        <v/>
      </c>
      <c r="H271" s="11">
        <f>'Mart'!$G$26</f>
        <v/>
      </c>
    </row>
    <row r="272">
      <c r="A272" s="12">
        <f>'Nisan'!$A$26</f>
        <v/>
      </c>
      <c r="B272" s="13">
        <f>'Nisan'!$B$26</f>
        <v/>
      </c>
      <c r="C272" s="12">
        <f>'Nisan'!$C$26</f>
        <v/>
      </c>
      <c r="D272" s="12">
        <f>IF('Nisan'!$B$26="","","Nisan")</f>
        <v/>
      </c>
      <c r="E272" s="14">
        <f>'Nisan'!$D$26</f>
        <v/>
      </c>
      <c r="F272" s="14">
        <f>'Nisan'!$E$26</f>
        <v/>
      </c>
      <c r="G272" s="14">
        <f>'Nisan'!$F$26</f>
        <v/>
      </c>
      <c r="H272" s="14">
        <f>'Nisan'!$G$26</f>
        <v/>
      </c>
    </row>
    <row r="273">
      <c r="A273" s="9">
        <f>'Mayıs'!$A$26</f>
        <v/>
      </c>
      <c r="B273" s="10">
        <f>'Mayıs'!$B$26</f>
        <v/>
      </c>
      <c r="C273" s="9">
        <f>'Mayıs'!$C$26</f>
        <v/>
      </c>
      <c r="D273" s="9">
        <f>IF('Mayıs'!$B$26="","","Mayıs")</f>
        <v/>
      </c>
      <c r="E273" s="11">
        <f>'Mayıs'!$D$26</f>
        <v/>
      </c>
      <c r="F273" s="11">
        <f>'Mayıs'!$E$26</f>
        <v/>
      </c>
      <c r="G273" s="11">
        <f>'Mayıs'!$F$26</f>
        <v/>
      </c>
      <c r="H273" s="11">
        <f>'Mayıs'!$G$26</f>
        <v/>
      </c>
    </row>
    <row r="274">
      <c r="A274" s="12">
        <f>'Haziran'!$A$26</f>
        <v/>
      </c>
      <c r="B274" s="13">
        <f>'Haziran'!$B$26</f>
        <v/>
      </c>
      <c r="C274" s="12">
        <f>'Haziran'!$C$26</f>
        <v/>
      </c>
      <c r="D274" s="12">
        <f>IF('Haziran'!$B$26="","","Haziran")</f>
        <v/>
      </c>
      <c r="E274" s="14">
        <f>'Haziran'!$D$26</f>
        <v/>
      </c>
      <c r="F274" s="14">
        <f>'Haziran'!$E$26</f>
        <v/>
      </c>
      <c r="G274" s="14">
        <f>'Haziran'!$F$26</f>
        <v/>
      </c>
      <c r="H274" s="14">
        <f>'Haziran'!$G$26</f>
        <v/>
      </c>
    </row>
    <row r="275">
      <c r="A275" s="9">
        <f>'Temmuz'!$A$26</f>
        <v/>
      </c>
      <c r="B275" s="10">
        <f>'Temmuz'!$B$26</f>
        <v/>
      </c>
      <c r="C275" s="9">
        <f>'Temmuz'!$C$26</f>
        <v/>
      </c>
      <c r="D275" s="9">
        <f>IF('Temmuz'!$B$26="","","Temmuz")</f>
        <v/>
      </c>
      <c r="E275" s="11">
        <f>'Temmuz'!$D$26</f>
        <v/>
      </c>
      <c r="F275" s="11">
        <f>'Temmuz'!$E$26</f>
        <v/>
      </c>
      <c r="G275" s="11">
        <f>'Temmuz'!$F$26</f>
        <v/>
      </c>
      <c r="H275" s="11">
        <f>'Temmuz'!$G$26</f>
        <v/>
      </c>
    </row>
    <row r="276">
      <c r="A276" s="12">
        <f>'Ağustos'!$A$26</f>
        <v/>
      </c>
      <c r="B276" s="13">
        <f>'Ağustos'!$B$26</f>
        <v/>
      </c>
      <c r="C276" s="12">
        <f>'Ağustos'!$C$26</f>
        <v/>
      </c>
      <c r="D276" s="12">
        <f>IF('Ağustos'!$B$26="","","Ağustos")</f>
        <v/>
      </c>
      <c r="E276" s="14">
        <f>'Ağustos'!$D$26</f>
        <v/>
      </c>
      <c r="F276" s="14">
        <f>'Ağustos'!$E$26</f>
        <v/>
      </c>
      <c r="G276" s="14">
        <f>'Ağustos'!$F$26</f>
        <v/>
      </c>
      <c r="H276" s="14">
        <f>'Ağustos'!$G$26</f>
        <v/>
      </c>
    </row>
    <row r="277">
      <c r="A277" s="9">
        <f>'Eylül'!$A$26</f>
        <v/>
      </c>
      <c r="B277" s="10">
        <f>'Eylül'!$B$26</f>
        <v/>
      </c>
      <c r="C277" s="9">
        <f>'Eylül'!$C$26</f>
        <v/>
      </c>
      <c r="D277" s="9">
        <f>IF('Eylül'!$B$26="","","Eylül")</f>
        <v/>
      </c>
      <c r="E277" s="11">
        <f>'Eylül'!$D$26</f>
        <v/>
      </c>
      <c r="F277" s="11">
        <f>'Eylül'!$E$26</f>
        <v/>
      </c>
      <c r="G277" s="11">
        <f>'Eylül'!$F$26</f>
        <v/>
      </c>
      <c r="H277" s="11">
        <f>'Eylül'!$G$26</f>
        <v/>
      </c>
    </row>
    <row r="278">
      <c r="A278" s="12">
        <f>'Ekim'!$A$26</f>
        <v/>
      </c>
      <c r="B278" s="13">
        <f>'Ekim'!$B$26</f>
        <v/>
      </c>
      <c r="C278" s="12">
        <f>'Ekim'!$C$26</f>
        <v/>
      </c>
      <c r="D278" s="12">
        <f>IF('Ekim'!$B$26="","","Ekim")</f>
        <v/>
      </c>
      <c r="E278" s="14">
        <f>'Ekim'!$D$26</f>
        <v/>
      </c>
      <c r="F278" s="14">
        <f>'Ekim'!$E$26</f>
        <v/>
      </c>
      <c r="G278" s="14">
        <f>'Ekim'!$F$26</f>
        <v/>
      </c>
      <c r="H278" s="14">
        <f>'Ekim'!$G$26</f>
        <v/>
      </c>
    </row>
    <row r="279">
      <c r="A279" s="9">
        <f>'Kasım'!$A$26</f>
        <v/>
      </c>
      <c r="B279" s="10">
        <f>'Kasım'!$B$26</f>
        <v/>
      </c>
      <c r="C279" s="9">
        <f>'Kasım'!$C$26</f>
        <v/>
      </c>
      <c r="D279" s="9">
        <f>IF('Kasım'!$B$26="","","Kasım")</f>
        <v/>
      </c>
      <c r="E279" s="11">
        <f>'Kasım'!$D$26</f>
        <v/>
      </c>
      <c r="F279" s="11">
        <f>'Kasım'!$E$26</f>
        <v/>
      </c>
      <c r="G279" s="11">
        <f>'Kasım'!$F$26</f>
        <v/>
      </c>
      <c r="H279" s="11">
        <f>'Kasım'!$G$26</f>
        <v/>
      </c>
    </row>
    <row r="280">
      <c r="A280" s="12">
        <f>'Aralık'!$A$26</f>
        <v/>
      </c>
      <c r="B280" s="13">
        <f>'Aralık'!$B$26</f>
        <v/>
      </c>
      <c r="C280" s="12">
        <f>'Aralık'!$C$26</f>
        <v/>
      </c>
      <c r="D280" s="12">
        <f>IF('Aralık'!$B$26="","","Aralık")</f>
        <v/>
      </c>
      <c r="E280" s="14">
        <f>'Aralık'!$D$26</f>
        <v/>
      </c>
      <c r="F280" s="14">
        <f>'Aralık'!$E$26</f>
        <v/>
      </c>
      <c r="G280" s="14">
        <f>'Aralık'!$F$26</f>
        <v/>
      </c>
      <c r="H280" s="14">
        <f>'Aralık'!$G$26</f>
        <v/>
      </c>
    </row>
    <row r="281" ht="20" customHeight="1">
      <c r="A281" s="15">
        <f>$A$269</f>
        <v/>
      </c>
      <c r="B281" s="16">
        <f>$B$269</f>
        <v/>
      </c>
      <c r="C281" s="15">
        <f>$C$269</f>
        <v/>
      </c>
      <c r="D281" s="15">
        <f>IF($B$269="","","YILLIK TOPLAM")</f>
        <v/>
      </c>
      <c r="E281" s="17">
        <f>IF($B$269="","",SUM(E269:E280))</f>
        <v/>
      </c>
      <c r="F281" s="17">
        <f>IF($B$269="","",SUM(F269:F280))</f>
        <v/>
      </c>
      <c r="G281" s="17">
        <f>IF($B$269="","",SUM(G269:G280))</f>
        <v/>
      </c>
      <c r="H281" s="17">
        <f>IF($B$269="","",SUM(H269:H280))</f>
        <v/>
      </c>
    </row>
    <row r="282">
      <c r="A282" s="9">
        <f>'Ocak'!$A$27</f>
        <v/>
      </c>
      <c r="B282" s="10">
        <f>'Ocak'!$B$27</f>
        <v/>
      </c>
      <c r="C282" s="9">
        <f>'Ocak'!$C$27</f>
        <v/>
      </c>
      <c r="D282" s="9">
        <f>IF('Ocak'!$B$27="","","Ocak")</f>
        <v/>
      </c>
      <c r="E282" s="11">
        <f>'Ocak'!$D$27</f>
        <v/>
      </c>
      <c r="F282" s="11">
        <f>'Ocak'!$E$27</f>
        <v/>
      </c>
      <c r="G282" s="11">
        <f>'Ocak'!$F$27</f>
        <v/>
      </c>
      <c r="H282" s="11">
        <f>'Ocak'!$G$27</f>
        <v/>
      </c>
    </row>
    <row r="283">
      <c r="A283" s="12">
        <f>'Şubat'!$A$27</f>
        <v/>
      </c>
      <c r="B283" s="13">
        <f>'Şubat'!$B$27</f>
        <v/>
      </c>
      <c r="C283" s="12">
        <f>'Şubat'!$C$27</f>
        <v/>
      </c>
      <c r="D283" s="12">
        <f>IF('Şubat'!$B$27="","","Şubat")</f>
        <v/>
      </c>
      <c r="E283" s="14">
        <f>'Şubat'!$D$27</f>
        <v/>
      </c>
      <c r="F283" s="14">
        <f>'Şubat'!$E$27</f>
        <v/>
      </c>
      <c r="G283" s="14">
        <f>'Şubat'!$F$27</f>
        <v/>
      </c>
      <c r="H283" s="14">
        <f>'Şubat'!$G$27</f>
        <v/>
      </c>
    </row>
    <row r="284">
      <c r="A284" s="9">
        <f>'Mart'!$A$27</f>
        <v/>
      </c>
      <c r="B284" s="10">
        <f>'Mart'!$B$27</f>
        <v/>
      </c>
      <c r="C284" s="9">
        <f>'Mart'!$C$27</f>
        <v/>
      </c>
      <c r="D284" s="9">
        <f>IF('Mart'!$B$27="","","Mart")</f>
        <v/>
      </c>
      <c r="E284" s="11">
        <f>'Mart'!$D$27</f>
        <v/>
      </c>
      <c r="F284" s="11">
        <f>'Mart'!$E$27</f>
        <v/>
      </c>
      <c r="G284" s="11">
        <f>'Mart'!$F$27</f>
        <v/>
      </c>
      <c r="H284" s="11">
        <f>'Mart'!$G$27</f>
        <v/>
      </c>
    </row>
    <row r="285">
      <c r="A285" s="12">
        <f>'Nisan'!$A$27</f>
        <v/>
      </c>
      <c r="B285" s="13">
        <f>'Nisan'!$B$27</f>
        <v/>
      </c>
      <c r="C285" s="12">
        <f>'Nisan'!$C$27</f>
        <v/>
      </c>
      <c r="D285" s="12">
        <f>IF('Nisan'!$B$27="","","Nisan")</f>
        <v/>
      </c>
      <c r="E285" s="14">
        <f>'Nisan'!$D$27</f>
        <v/>
      </c>
      <c r="F285" s="14">
        <f>'Nisan'!$E$27</f>
        <v/>
      </c>
      <c r="G285" s="14">
        <f>'Nisan'!$F$27</f>
        <v/>
      </c>
      <c r="H285" s="14">
        <f>'Nisan'!$G$27</f>
        <v/>
      </c>
    </row>
    <row r="286">
      <c r="A286" s="9">
        <f>'Mayıs'!$A$27</f>
        <v/>
      </c>
      <c r="B286" s="10">
        <f>'Mayıs'!$B$27</f>
        <v/>
      </c>
      <c r="C286" s="9">
        <f>'Mayıs'!$C$27</f>
        <v/>
      </c>
      <c r="D286" s="9">
        <f>IF('Mayıs'!$B$27="","","Mayıs")</f>
        <v/>
      </c>
      <c r="E286" s="11">
        <f>'Mayıs'!$D$27</f>
        <v/>
      </c>
      <c r="F286" s="11">
        <f>'Mayıs'!$E$27</f>
        <v/>
      </c>
      <c r="G286" s="11">
        <f>'Mayıs'!$F$27</f>
        <v/>
      </c>
      <c r="H286" s="11">
        <f>'Mayıs'!$G$27</f>
        <v/>
      </c>
    </row>
    <row r="287">
      <c r="A287" s="12">
        <f>'Haziran'!$A$27</f>
        <v/>
      </c>
      <c r="B287" s="13">
        <f>'Haziran'!$B$27</f>
        <v/>
      </c>
      <c r="C287" s="12">
        <f>'Haziran'!$C$27</f>
        <v/>
      </c>
      <c r="D287" s="12">
        <f>IF('Haziran'!$B$27="","","Haziran")</f>
        <v/>
      </c>
      <c r="E287" s="14">
        <f>'Haziran'!$D$27</f>
        <v/>
      </c>
      <c r="F287" s="14">
        <f>'Haziran'!$E$27</f>
        <v/>
      </c>
      <c r="G287" s="14">
        <f>'Haziran'!$F$27</f>
        <v/>
      </c>
      <c r="H287" s="14">
        <f>'Haziran'!$G$27</f>
        <v/>
      </c>
    </row>
    <row r="288">
      <c r="A288" s="9">
        <f>'Temmuz'!$A$27</f>
        <v/>
      </c>
      <c r="B288" s="10">
        <f>'Temmuz'!$B$27</f>
        <v/>
      </c>
      <c r="C288" s="9">
        <f>'Temmuz'!$C$27</f>
        <v/>
      </c>
      <c r="D288" s="9">
        <f>IF('Temmuz'!$B$27="","","Temmuz")</f>
        <v/>
      </c>
      <c r="E288" s="11">
        <f>'Temmuz'!$D$27</f>
        <v/>
      </c>
      <c r="F288" s="11">
        <f>'Temmuz'!$E$27</f>
        <v/>
      </c>
      <c r="G288" s="11">
        <f>'Temmuz'!$F$27</f>
        <v/>
      </c>
      <c r="H288" s="11">
        <f>'Temmuz'!$G$27</f>
        <v/>
      </c>
    </row>
    <row r="289">
      <c r="A289" s="12">
        <f>'Ağustos'!$A$27</f>
        <v/>
      </c>
      <c r="B289" s="13">
        <f>'Ağustos'!$B$27</f>
        <v/>
      </c>
      <c r="C289" s="12">
        <f>'Ağustos'!$C$27</f>
        <v/>
      </c>
      <c r="D289" s="12">
        <f>IF('Ağustos'!$B$27="","","Ağustos")</f>
        <v/>
      </c>
      <c r="E289" s="14">
        <f>'Ağustos'!$D$27</f>
        <v/>
      </c>
      <c r="F289" s="14">
        <f>'Ağustos'!$E$27</f>
        <v/>
      </c>
      <c r="G289" s="14">
        <f>'Ağustos'!$F$27</f>
        <v/>
      </c>
      <c r="H289" s="14">
        <f>'Ağustos'!$G$27</f>
        <v/>
      </c>
    </row>
    <row r="290">
      <c r="A290" s="9">
        <f>'Eylül'!$A$27</f>
        <v/>
      </c>
      <c r="B290" s="10">
        <f>'Eylül'!$B$27</f>
        <v/>
      </c>
      <c r="C290" s="9">
        <f>'Eylül'!$C$27</f>
        <v/>
      </c>
      <c r="D290" s="9">
        <f>IF('Eylül'!$B$27="","","Eylül")</f>
        <v/>
      </c>
      <c r="E290" s="11">
        <f>'Eylül'!$D$27</f>
        <v/>
      </c>
      <c r="F290" s="11">
        <f>'Eylül'!$E$27</f>
        <v/>
      </c>
      <c r="G290" s="11">
        <f>'Eylül'!$F$27</f>
        <v/>
      </c>
      <c r="H290" s="11">
        <f>'Eylül'!$G$27</f>
        <v/>
      </c>
    </row>
    <row r="291">
      <c r="A291" s="12">
        <f>'Ekim'!$A$27</f>
        <v/>
      </c>
      <c r="B291" s="13">
        <f>'Ekim'!$B$27</f>
        <v/>
      </c>
      <c r="C291" s="12">
        <f>'Ekim'!$C$27</f>
        <v/>
      </c>
      <c r="D291" s="12">
        <f>IF('Ekim'!$B$27="","","Ekim")</f>
        <v/>
      </c>
      <c r="E291" s="14">
        <f>'Ekim'!$D$27</f>
        <v/>
      </c>
      <c r="F291" s="14">
        <f>'Ekim'!$E$27</f>
        <v/>
      </c>
      <c r="G291" s="14">
        <f>'Ekim'!$F$27</f>
        <v/>
      </c>
      <c r="H291" s="14">
        <f>'Ekim'!$G$27</f>
        <v/>
      </c>
    </row>
    <row r="292">
      <c r="A292" s="9">
        <f>'Kasım'!$A$27</f>
        <v/>
      </c>
      <c r="B292" s="10">
        <f>'Kasım'!$B$27</f>
        <v/>
      </c>
      <c r="C292" s="9">
        <f>'Kasım'!$C$27</f>
        <v/>
      </c>
      <c r="D292" s="9">
        <f>IF('Kasım'!$B$27="","","Kasım")</f>
        <v/>
      </c>
      <c r="E292" s="11">
        <f>'Kasım'!$D$27</f>
        <v/>
      </c>
      <c r="F292" s="11">
        <f>'Kasım'!$E$27</f>
        <v/>
      </c>
      <c r="G292" s="11">
        <f>'Kasım'!$F$27</f>
        <v/>
      </c>
      <c r="H292" s="11">
        <f>'Kasım'!$G$27</f>
        <v/>
      </c>
    </row>
    <row r="293">
      <c r="A293" s="12">
        <f>'Aralık'!$A$27</f>
        <v/>
      </c>
      <c r="B293" s="13">
        <f>'Aralık'!$B$27</f>
        <v/>
      </c>
      <c r="C293" s="12">
        <f>'Aralık'!$C$27</f>
        <v/>
      </c>
      <c r="D293" s="12">
        <f>IF('Aralık'!$B$27="","","Aralık")</f>
        <v/>
      </c>
      <c r="E293" s="14">
        <f>'Aralık'!$D$27</f>
        <v/>
      </c>
      <c r="F293" s="14">
        <f>'Aralık'!$E$27</f>
        <v/>
      </c>
      <c r="G293" s="14">
        <f>'Aralık'!$F$27</f>
        <v/>
      </c>
      <c r="H293" s="14">
        <f>'Aralık'!$G$27</f>
        <v/>
      </c>
    </row>
    <row r="294" ht="20" customHeight="1">
      <c r="A294" s="15">
        <f>$A$282</f>
        <v/>
      </c>
      <c r="B294" s="16">
        <f>$B$282</f>
        <v/>
      </c>
      <c r="C294" s="15">
        <f>$C$282</f>
        <v/>
      </c>
      <c r="D294" s="15">
        <f>IF($B$282="","","YILLIK TOPLAM")</f>
        <v/>
      </c>
      <c r="E294" s="17">
        <f>IF($B$282="","",SUM(E282:E293))</f>
        <v/>
      </c>
      <c r="F294" s="17">
        <f>IF($B$282="","",SUM(F282:F293))</f>
        <v/>
      </c>
      <c r="G294" s="17">
        <f>IF($B$282="","",SUM(G282:G293))</f>
        <v/>
      </c>
      <c r="H294" s="17">
        <f>IF($B$282="","",SUM(H282:H293))</f>
        <v/>
      </c>
    </row>
    <row r="295">
      <c r="A295" s="9">
        <f>'Ocak'!$A$28</f>
        <v/>
      </c>
      <c r="B295" s="10">
        <f>'Ocak'!$B$28</f>
        <v/>
      </c>
      <c r="C295" s="9">
        <f>'Ocak'!$C$28</f>
        <v/>
      </c>
      <c r="D295" s="9">
        <f>IF('Ocak'!$B$28="","","Ocak")</f>
        <v/>
      </c>
      <c r="E295" s="11">
        <f>'Ocak'!$D$28</f>
        <v/>
      </c>
      <c r="F295" s="11">
        <f>'Ocak'!$E$28</f>
        <v/>
      </c>
      <c r="G295" s="11">
        <f>'Ocak'!$F$28</f>
        <v/>
      </c>
      <c r="H295" s="11">
        <f>'Ocak'!$G$28</f>
        <v/>
      </c>
    </row>
    <row r="296">
      <c r="A296" s="12">
        <f>'Şubat'!$A$28</f>
        <v/>
      </c>
      <c r="B296" s="13">
        <f>'Şubat'!$B$28</f>
        <v/>
      </c>
      <c r="C296" s="12">
        <f>'Şubat'!$C$28</f>
        <v/>
      </c>
      <c r="D296" s="12">
        <f>IF('Şubat'!$B$28="","","Şubat")</f>
        <v/>
      </c>
      <c r="E296" s="14">
        <f>'Şubat'!$D$28</f>
        <v/>
      </c>
      <c r="F296" s="14">
        <f>'Şubat'!$E$28</f>
        <v/>
      </c>
      <c r="G296" s="14">
        <f>'Şubat'!$F$28</f>
        <v/>
      </c>
      <c r="H296" s="14">
        <f>'Şubat'!$G$28</f>
        <v/>
      </c>
    </row>
    <row r="297">
      <c r="A297" s="9">
        <f>'Mart'!$A$28</f>
        <v/>
      </c>
      <c r="B297" s="10">
        <f>'Mart'!$B$28</f>
        <v/>
      </c>
      <c r="C297" s="9">
        <f>'Mart'!$C$28</f>
        <v/>
      </c>
      <c r="D297" s="9">
        <f>IF('Mart'!$B$28="","","Mart")</f>
        <v/>
      </c>
      <c r="E297" s="11">
        <f>'Mart'!$D$28</f>
        <v/>
      </c>
      <c r="F297" s="11">
        <f>'Mart'!$E$28</f>
        <v/>
      </c>
      <c r="G297" s="11">
        <f>'Mart'!$F$28</f>
        <v/>
      </c>
      <c r="H297" s="11">
        <f>'Mart'!$G$28</f>
        <v/>
      </c>
    </row>
    <row r="298">
      <c r="A298" s="12">
        <f>'Nisan'!$A$28</f>
        <v/>
      </c>
      <c r="B298" s="13">
        <f>'Nisan'!$B$28</f>
        <v/>
      </c>
      <c r="C298" s="12">
        <f>'Nisan'!$C$28</f>
        <v/>
      </c>
      <c r="D298" s="12">
        <f>IF('Nisan'!$B$28="","","Nisan")</f>
        <v/>
      </c>
      <c r="E298" s="14">
        <f>'Nisan'!$D$28</f>
        <v/>
      </c>
      <c r="F298" s="14">
        <f>'Nisan'!$E$28</f>
        <v/>
      </c>
      <c r="G298" s="14">
        <f>'Nisan'!$F$28</f>
        <v/>
      </c>
      <c r="H298" s="14">
        <f>'Nisan'!$G$28</f>
        <v/>
      </c>
    </row>
    <row r="299">
      <c r="A299" s="9">
        <f>'Mayıs'!$A$28</f>
        <v/>
      </c>
      <c r="B299" s="10">
        <f>'Mayıs'!$B$28</f>
        <v/>
      </c>
      <c r="C299" s="9">
        <f>'Mayıs'!$C$28</f>
        <v/>
      </c>
      <c r="D299" s="9">
        <f>IF('Mayıs'!$B$28="","","Mayıs")</f>
        <v/>
      </c>
      <c r="E299" s="11">
        <f>'Mayıs'!$D$28</f>
        <v/>
      </c>
      <c r="F299" s="11">
        <f>'Mayıs'!$E$28</f>
        <v/>
      </c>
      <c r="G299" s="11">
        <f>'Mayıs'!$F$28</f>
        <v/>
      </c>
      <c r="H299" s="11">
        <f>'Mayıs'!$G$28</f>
        <v/>
      </c>
    </row>
    <row r="300">
      <c r="A300" s="12">
        <f>'Haziran'!$A$28</f>
        <v/>
      </c>
      <c r="B300" s="13">
        <f>'Haziran'!$B$28</f>
        <v/>
      </c>
      <c r="C300" s="12">
        <f>'Haziran'!$C$28</f>
        <v/>
      </c>
      <c r="D300" s="12">
        <f>IF('Haziran'!$B$28="","","Haziran")</f>
        <v/>
      </c>
      <c r="E300" s="14">
        <f>'Haziran'!$D$28</f>
        <v/>
      </c>
      <c r="F300" s="14">
        <f>'Haziran'!$E$28</f>
        <v/>
      </c>
      <c r="G300" s="14">
        <f>'Haziran'!$F$28</f>
        <v/>
      </c>
      <c r="H300" s="14">
        <f>'Haziran'!$G$28</f>
        <v/>
      </c>
    </row>
    <row r="301">
      <c r="A301" s="9">
        <f>'Temmuz'!$A$28</f>
        <v/>
      </c>
      <c r="B301" s="10">
        <f>'Temmuz'!$B$28</f>
        <v/>
      </c>
      <c r="C301" s="9">
        <f>'Temmuz'!$C$28</f>
        <v/>
      </c>
      <c r="D301" s="9">
        <f>IF('Temmuz'!$B$28="","","Temmuz")</f>
        <v/>
      </c>
      <c r="E301" s="11">
        <f>'Temmuz'!$D$28</f>
        <v/>
      </c>
      <c r="F301" s="11">
        <f>'Temmuz'!$E$28</f>
        <v/>
      </c>
      <c r="G301" s="11">
        <f>'Temmuz'!$F$28</f>
        <v/>
      </c>
      <c r="H301" s="11">
        <f>'Temmuz'!$G$28</f>
        <v/>
      </c>
    </row>
    <row r="302">
      <c r="A302" s="12">
        <f>'Ağustos'!$A$28</f>
        <v/>
      </c>
      <c r="B302" s="13">
        <f>'Ağustos'!$B$28</f>
        <v/>
      </c>
      <c r="C302" s="12">
        <f>'Ağustos'!$C$28</f>
        <v/>
      </c>
      <c r="D302" s="12">
        <f>IF('Ağustos'!$B$28="","","Ağustos")</f>
        <v/>
      </c>
      <c r="E302" s="14">
        <f>'Ağustos'!$D$28</f>
        <v/>
      </c>
      <c r="F302" s="14">
        <f>'Ağustos'!$E$28</f>
        <v/>
      </c>
      <c r="G302" s="14">
        <f>'Ağustos'!$F$28</f>
        <v/>
      </c>
      <c r="H302" s="14">
        <f>'Ağustos'!$G$28</f>
        <v/>
      </c>
    </row>
    <row r="303">
      <c r="A303" s="9">
        <f>'Eylül'!$A$28</f>
        <v/>
      </c>
      <c r="B303" s="10">
        <f>'Eylül'!$B$28</f>
        <v/>
      </c>
      <c r="C303" s="9">
        <f>'Eylül'!$C$28</f>
        <v/>
      </c>
      <c r="D303" s="9">
        <f>IF('Eylül'!$B$28="","","Eylül")</f>
        <v/>
      </c>
      <c r="E303" s="11">
        <f>'Eylül'!$D$28</f>
        <v/>
      </c>
      <c r="F303" s="11">
        <f>'Eylül'!$E$28</f>
        <v/>
      </c>
      <c r="G303" s="11">
        <f>'Eylül'!$F$28</f>
        <v/>
      </c>
      <c r="H303" s="11">
        <f>'Eylül'!$G$28</f>
        <v/>
      </c>
    </row>
    <row r="304">
      <c r="A304" s="12">
        <f>'Ekim'!$A$28</f>
        <v/>
      </c>
      <c r="B304" s="13">
        <f>'Ekim'!$B$28</f>
        <v/>
      </c>
      <c r="C304" s="12">
        <f>'Ekim'!$C$28</f>
        <v/>
      </c>
      <c r="D304" s="12">
        <f>IF('Ekim'!$B$28="","","Ekim")</f>
        <v/>
      </c>
      <c r="E304" s="14">
        <f>'Ekim'!$D$28</f>
        <v/>
      </c>
      <c r="F304" s="14">
        <f>'Ekim'!$E$28</f>
        <v/>
      </c>
      <c r="G304" s="14">
        <f>'Ekim'!$F$28</f>
        <v/>
      </c>
      <c r="H304" s="14">
        <f>'Ekim'!$G$28</f>
        <v/>
      </c>
    </row>
    <row r="305">
      <c r="A305" s="9">
        <f>'Kasım'!$A$28</f>
        <v/>
      </c>
      <c r="B305" s="10">
        <f>'Kasım'!$B$28</f>
        <v/>
      </c>
      <c r="C305" s="9">
        <f>'Kasım'!$C$28</f>
        <v/>
      </c>
      <c r="D305" s="9">
        <f>IF('Kasım'!$B$28="","","Kasım")</f>
        <v/>
      </c>
      <c r="E305" s="11">
        <f>'Kasım'!$D$28</f>
        <v/>
      </c>
      <c r="F305" s="11">
        <f>'Kasım'!$E$28</f>
        <v/>
      </c>
      <c r="G305" s="11">
        <f>'Kasım'!$F$28</f>
        <v/>
      </c>
      <c r="H305" s="11">
        <f>'Kasım'!$G$28</f>
        <v/>
      </c>
    </row>
    <row r="306">
      <c r="A306" s="12">
        <f>'Aralık'!$A$28</f>
        <v/>
      </c>
      <c r="B306" s="13">
        <f>'Aralık'!$B$28</f>
        <v/>
      </c>
      <c r="C306" s="12">
        <f>'Aralık'!$C$28</f>
        <v/>
      </c>
      <c r="D306" s="12">
        <f>IF('Aralık'!$B$28="","","Aralık")</f>
        <v/>
      </c>
      <c r="E306" s="14">
        <f>'Aralık'!$D$28</f>
        <v/>
      </c>
      <c r="F306" s="14">
        <f>'Aralık'!$E$28</f>
        <v/>
      </c>
      <c r="G306" s="14">
        <f>'Aralık'!$F$28</f>
        <v/>
      </c>
      <c r="H306" s="14">
        <f>'Aralık'!$G$28</f>
        <v/>
      </c>
    </row>
    <row r="307" ht="20" customHeight="1">
      <c r="A307" s="15">
        <f>$A$295</f>
        <v/>
      </c>
      <c r="B307" s="16">
        <f>$B$295</f>
        <v/>
      </c>
      <c r="C307" s="15">
        <f>$C$295</f>
        <v/>
      </c>
      <c r="D307" s="15">
        <f>IF($B$295="","","YILLIK TOPLAM")</f>
        <v/>
      </c>
      <c r="E307" s="17">
        <f>IF($B$295="","",SUM(E295:E306))</f>
        <v/>
      </c>
      <c r="F307" s="17">
        <f>IF($B$295="","",SUM(F295:F306))</f>
        <v/>
      </c>
      <c r="G307" s="17">
        <f>IF($B$295="","",SUM(G295:G306))</f>
        <v/>
      </c>
      <c r="H307" s="17">
        <f>IF($B$295="","",SUM(H295:H306))</f>
        <v/>
      </c>
    </row>
    <row r="308">
      <c r="A308" s="9">
        <f>'Ocak'!$A$29</f>
        <v/>
      </c>
      <c r="B308" s="10">
        <f>'Ocak'!$B$29</f>
        <v/>
      </c>
      <c r="C308" s="9">
        <f>'Ocak'!$C$29</f>
        <v/>
      </c>
      <c r="D308" s="9">
        <f>IF('Ocak'!$B$29="","","Ocak")</f>
        <v/>
      </c>
      <c r="E308" s="11">
        <f>'Ocak'!$D$29</f>
        <v/>
      </c>
      <c r="F308" s="11">
        <f>'Ocak'!$E$29</f>
        <v/>
      </c>
      <c r="G308" s="11">
        <f>'Ocak'!$F$29</f>
        <v/>
      </c>
      <c r="H308" s="11">
        <f>'Ocak'!$G$29</f>
        <v/>
      </c>
    </row>
    <row r="309">
      <c r="A309" s="12">
        <f>'Şubat'!$A$29</f>
        <v/>
      </c>
      <c r="B309" s="13">
        <f>'Şubat'!$B$29</f>
        <v/>
      </c>
      <c r="C309" s="12">
        <f>'Şubat'!$C$29</f>
        <v/>
      </c>
      <c r="D309" s="12">
        <f>IF('Şubat'!$B$29="","","Şubat")</f>
        <v/>
      </c>
      <c r="E309" s="14">
        <f>'Şubat'!$D$29</f>
        <v/>
      </c>
      <c r="F309" s="14">
        <f>'Şubat'!$E$29</f>
        <v/>
      </c>
      <c r="G309" s="14">
        <f>'Şubat'!$F$29</f>
        <v/>
      </c>
      <c r="H309" s="14">
        <f>'Şubat'!$G$29</f>
        <v/>
      </c>
    </row>
    <row r="310">
      <c r="A310" s="9">
        <f>'Mart'!$A$29</f>
        <v/>
      </c>
      <c r="B310" s="10">
        <f>'Mart'!$B$29</f>
        <v/>
      </c>
      <c r="C310" s="9">
        <f>'Mart'!$C$29</f>
        <v/>
      </c>
      <c r="D310" s="9">
        <f>IF('Mart'!$B$29="","","Mart")</f>
        <v/>
      </c>
      <c r="E310" s="11">
        <f>'Mart'!$D$29</f>
        <v/>
      </c>
      <c r="F310" s="11">
        <f>'Mart'!$E$29</f>
        <v/>
      </c>
      <c r="G310" s="11">
        <f>'Mart'!$F$29</f>
        <v/>
      </c>
      <c r="H310" s="11">
        <f>'Mart'!$G$29</f>
        <v/>
      </c>
    </row>
    <row r="311">
      <c r="A311" s="12">
        <f>'Nisan'!$A$29</f>
        <v/>
      </c>
      <c r="B311" s="13">
        <f>'Nisan'!$B$29</f>
        <v/>
      </c>
      <c r="C311" s="12">
        <f>'Nisan'!$C$29</f>
        <v/>
      </c>
      <c r="D311" s="12">
        <f>IF('Nisan'!$B$29="","","Nisan")</f>
        <v/>
      </c>
      <c r="E311" s="14">
        <f>'Nisan'!$D$29</f>
        <v/>
      </c>
      <c r="F311" s="14">
        <f>'Nisan'!$E$29</f>
        <v/>
      </c>
      <c r="G311" s="14">
        <f>'Nisan'!$F$29</f>
        <v/>
      </c>
      <c r="H311" s="14">
        <f>'Nisan'!$G$29</f>
        <v/>
      </c>
    </row>
    <row r="312">
      <c r="A312" s="9">
        <f>'Mayıs'!$A$29</f>
        <v/>
      </c>
      <c r="B312" s="10">
        <f>'Mayıs'!$B$29</f>
        <v/>
      </c>
      <c r="C312" s="9">
        <f>'Mayıs'!$C$29</f>
        <v/>
      </c>
      <c r="D312" s="9">
        <f>IF('Mayıs'!$B$29="","","Mayıs")</f>
        <v/>
      </c>
      <c r="E312" s="11">
        <f>'Mayıs'!$D$29</f>
        <v/>
      </c>
      <c r="F312" s="11">
        <f>'Mayıs'!$E$29</f>
        <v/>
      </c>
      <c r="G312" s="11">
        <f>'Mayıs'!$F$29</f>
        <v/>
      </c>
      <c r="H312" s="11">
        <f>'Mayıs'!$G$29</f>
        <v/>
      </c>
    </row>
    <row r="313">
      <c r="A313" s="12">
        <f>'Haziran'!$A$29</f>
        <v/>
      </c>
      <c r="B313" s="13">
        <f>'Haziran'!$B$29</f>
        <v/>
      </c>
      <c r="C313" s="12">
        <f>'Haziran'!$C$29</f>
        <v/>
      </c>
      <c r="D313" s="12">
        <f>IF('Haziran'!$B$29="","","Haziran")</f>
        <v/>
      </c>
      <c r="E313" s="14">
        <f>'Haziran'!$D$29</f>
        <v/>
      </c>
      <c r="F313" s="14">
        <f>'Haziran'!$E$29</f>
        <v/>
      </c>
      <c r="G313" s="14">
        <f>'Haziran'!$F$29</f>
        <v/>
      </c>
      <c r="H313" s="14">
        <f>'Haziran'!$G$29</f>
        <v/>
      </c>
    </row>
    <row r="314">
      <c r="A314" s="9">
        <f>'Temmuz'!$A$29</f>
        <v/>
      </c>
      <c r="B314" s="10">
        <f>'Temmuz'!$B$29</f>
        <v/>
      </c>
      <c r="C314" s="9">
        <f>'Temmuz'!$C$29</f>
        <v/>
      </c>
      <c r="D314" s="9">
        <f>IF('Temmuz'!$B$29="","","Temmuz")</f>
        <v/>
      </c>
      <c r="E314" s="11">
        <f>'Temmuz'!$D$29</f>
        <v/>
      </c>
      <c r="F314" s="11">
        <f>'Temmuz'!$E$29</f>
        <v/>
      </c>
      <c r="G314" s="11">
        <f>'Temmuz'!$F$29</f>
        <v/>
      </c>
      <c r="H314" s="11">
        <f>'Temmuz'!$G$29</f>
        <v/>
      </c>
    </row>
    <row r="315">
      <c r="A315" s="12">
        <f>'Ağustos'!$A$29</f>
        <v/>
      </c>
      <c r="B315" s="13">
        <f>'Ağustos'!$B$29</f>
        <v/>
      </c>
      <c r="C315" s="12">
        <f>'Ağustos'!$C$29</f>
        <v/>
      </c>
      <c r="D315" s="12">
        <f>IF('Ağustos'!$B$29="","","Ağustos")</f>
        <v/>
      </c>
      <c r="E315" s="14">
        <f>'Ağustos'!$D$29</f>
        <v/>
      </c>
      <c r="F315" s="14">
        <f>'Ağustos'!$E$29</f>
        <v/>
      </c>
      <c r="G315" s="14">
        <f>'Ağustos'!$F$29</f>
        <v/>
      </c>
      <c r="H315" s="14">
        <f>'Ağustos'!$G$29</f>
        <v/>
      </c>
    </row>
    <row r="316">
      <c r="A316" s="9">
        <f>'Eylül'!$A$29</f>
        <v/>
      </c>
      <c r="B316" s="10">
        <f>'Eylül'!$B$29</f>
        <v/>
      </c>
      <c r="C316" s="9">
        <f>'Eylül'!$C$29</f>
        <v/>
      </c>
      <c r="D316" s="9">
        <f>IF('Eylül'!$B$29="","","Eylül")</f>
        <v/>
      </c>
      <c r="E316" s="11">
        <f>'Eylül'!$D$29</f>
        <v/>
      </c>
      <c r="F316" s="11">
        <f>'Eylül'!$E$29</f>
        <v/>
      </c>
      <c r="G316" s="11">
        <f>'Eylül'!$F$29</f>
        <v/>
      </c>
      <c r="H316" s="11">
        <f>'Eylül'!$G$29</f>
        <v/>
      </c>
    </row>
    <row r="317">
      <c r="A317" s="12">
        <f>'Ekim'!$A$29</f>
        <v/>
      </c>
      <c r="B317" s="13">
        <f>'Ekim'!$B$29</f>
        <v/>
      </c>
      <c r="C317" s="12">
        <f>'Ekim'!$C$29</f>
        <v/>
      </c>
      <c r="D317" s="12">
        <f>IF('Ekim'!$B$29="","","Ekim")</f>
        <v/>
      </c>
      <c r="E317" s="14">
        <f>'Ekim'!$D$29</f>
        <v/>
      </c>
      <c r="F317" s="14">
        <f>'Ekim'!$E$29</f>
        <v/>
      </c>
      <c r="G317" s="14">
        <f>'Ekim'!$F$29</f>
        <v/>
      </c>
      <c r="H317" s="14">
        <f>'Ekim'!$G$29</f>
        <v/>
      </c>
    </row>
    <row r="318">
      <c r="A318" s="9">
        <f>'Kasım'!$A$29</f>
        <v/>
      </c>
      <c r="B318" s="10">
        <f>'Kasım'!$B$29</f>
        <v/>
      </c>
      <c r="C318" s="9">
        <f>'Kasım'!$C$29</f>
        <v/>
      </c>
      <c r="D318" s="9">
        <f>IF('Kasım'!$B$29="","","Kasım")</f>
        <v/>
      </c>
      <c r="E318" s="11">
        <f>'Kasım'!$D$29</f>
        <v/>
      </c>
      <c r="F318" s="11">
        <f>'Kasım'!$E$29</f>
        <v/>
      </c>
      <c r="G318" s="11">
        <f>'Kasım'!$F$29</f>
        <v/>
      </c>
      <c r="H318" s="11">
        <f>'Kasım'!$G$29</f>
        <v/>
      </c>
    </row>
    <row r="319">
      <c r="A319" s="12">
        <f>'Aralık'!$A$29</f>
        <v/>
      </c>
      <c r="B319" s="13">
        <f>'Aralık'!$B$29</f>
        <v/>
      </c>
      <c r="C319" s="12">
        <f>'Aralık'!$C$29</f>
        <v/>
      </c>
      <c r="D319" s="12">
        <f>IF('Aralık'!$B$29="","","Aralık")</f>
        <v/>
      </c>
      <c r="E319" s="14">
        <f>'Aralık'!$D$29</f>
        <v/>
      </c>
      <c r="F319" s="14">
        <f>'Aralık'!$E$29</f>
        <v/>
      </c>
      <c r="G319" s="14">
        <f>'Aralık'!$F$29</f>
        <v/>
      </c>
      <c r="H319" s="14">
        <f>'Aralık'!$G$29</f>
        <v/>
      </c>
    </row>
    <row r="320" ht="20" customHeight="1">
      <c r="A320" s="15">
        <f>$A$308</f>
        <v/>
      </c>
      <c r="B320" s="16">
        <f>$B$308</f>
        <v/>
      </c>
      <c r="C320" s="15">
        <f>$C$308</f>
        <v/>
      </c>
      <c r="D320" s="15">
        <f>IF($B$308="","","YILLIK TOPLAM")</f>
        <v/>
      </c>
      <c r="E320" s="17">
        <f>IF($B$308="","",SUM(E308:E319))</f>
        <v/>
      </c>
      <c r="F320" s="17">
        <f>IF($B$308="","",SUM(F308:F319))</f>
        <v/>
      </c>
      <c r="G320" s="17">
        <f>IF($B$308="","",SUM(G308:G319))</f>
        <v/>
      </c>
      <c r="H320" s="17">
        <f>IF($B$308="","",SUM(H308:H319))</f>
        <v/>
      </c>
    </row>
    <row r="321">
      <c r="A321" s="9">
        <f>'Ocak'!$A$30</f>
        <v/>
      </c>
      <c r="B321" s="10">
        <f>'Ocak'!$B$30</f>
        <v/>
      </c>
      <c r="C321" s="9">
        <f>'Ocak'!$C$30</f>
        <v/>
      </c>
      <c r="D321" s="9">
        <f>IF('Ocak'!$B$30="","","Ocak")</f>
        <v/>
      </c>
      <c r="E321" s="11">
        <f>'Ocak'!$D$30</f>
        <v/>
      </c>
      <c r="F321" s="11">
        <f>'Ocak'!$E$30</f>
        <v/>
      </c>
      <c r="G321" s="11">
        <f>'Ocak'!$F$30</f>
        <v/>
      </c>
      <c r="H321" s="11">
        <f>'Ocak'!$G$30</f>
        <v/>
      </c>
    </row>
    <row r="322">
      <c r="A322" s="12">
        <f>'Şubat'!$A$30</f>
        <v/>
      </c>
      <c r="B322" s="13">
        <f>'Şubat'!$B$30</f>
        <v/>
      </c>
      <c r="C322" s="12">
        <f>'Şubat'!$C$30</f>
        <v/>
      </c>
      <c r="D322" s="12">
        <f>IF('Şubat'!$B$30="","","Şubat")</f>
        <v/>
      </c>
      <c r="E322" s="14">
        <f>'Şubat'!$D$30</f>
        <v/>
      </c>
      <c r="F322" s="14">
        <f>'Şubat'!$E$30</f>
        <v/>
      </c>
      <c r="G322" s="14">
        <f>'Şubat'!$F$30</f>
        <v/>
      </c>
      <c r="H322" s="14">
        <f>'Şubat'!$G$30</f>
        <v/>
      </c>
    </row>
    <row r="323">
      <c r="A323" s="9">
        <f>'Mart'!$A$30</f>
        <v/>
      </c>
      <c r="B323" s="10">
        <f>'Mart'!$B$30</f>
        <v/>
      </c>
      <c r="C323" s="9">
        <f>'Mart'!$C$30</f>
        <v/>
      </c>
      <c r="D323" s="9">
        <f>IF('Mart'!$B$30="","","Mart")</f>
        <v/>
      </c>
      <c r="E323" s="11">
        <f>'Mart'!$D$30</f>
        <v/>
      </c>
      <c r="F323" s="11">
        <f>'Mart'!$E$30</f>
        <v/>
      </c>
      <c r="G323" s="11">
        <f>'Mart'!$F$30</f>
        <v/>
      </c>
      <c r="H323" s="11">
        <f>'Mart'!$G$30</f>
        <v/>
      </c>
    </row>
    <row r="324">
      <c r="A324" s="12">
        <f>'Nisan'!$A$30</f>
        <v/>
      </c>
      <c r="B324" s="13">
        <f>'Nisan'!$B$30</f>
        <v/>
      </c>
      <c r="C324" s="12">
        <f>'Nisan'!$C$30</f>
        <v/>
      </c>
      <c r="D324" s="12">
        <f>IF('Nisan'!$B$30="","","Nisan")</f>
        <v/>
      </c>
      <c r="E324" s="14">
        <f>'Nisan'!$D$30</f>
        <v/>
      </c>
      <c r="F324" s="14">
        <f>'Nisan'!$E$30</f>
        <v/>
      </c>
      <c r="G324" s="14">
        <f>'Nisan'!$F$30</f>
        <v/>
      </c>
      <c r="H324" s="14">
        <f>'Nisan'!$G$30</f>
        <v/>
      </c>
    </row>
    <row r="325">
      <c r="A325" s="9">
        <f>'Mayıs'!$A$30</f>
        <v/>
      </c>
      <c r="B325" s="10">
        <f>'Mayıs'!$B$30</f>
        <v/>
      </c>
      <c r="C325" s="9">
        <f>'Mayıs'!$C$30</f>
        <v/>
      </c>
      <c r="D325" s="9">
        <f>IF('Mayıs'!$B$30="","","Mayıs")</f>
        <v/>
      </c>
      <c r="E325" s="11">
        <f>'Mayıs'!$D$30</f>
        <v/>
      </c>
      <c r="F325" s="11">
        <f>'Mayıs'!$E$30</f>
        <v/>
      </c>
      <c r="G325" s="11">
        <f>'Mayıs'!$F$30</f>
        <v/>
      </c>
      <c r="H325" s="11">
        <f>'Mayıs'!$G$30</f>
        <v/>
      </c>
    </row>
    <row r="326">
      <c r="A326" s="12">
        <f>'Haziran'!$A$30</f>
        <v/>
      </c>
      <c r="B326" s="13">
        <f>'Haziran'!$B$30</f>
        <v/>
      </c>
      <c r="C326" s="12">
        <f>'Haziran'!$C$30</f>
        <v/>
      </c>
      <c r="D326" s="12">
        <f>IF('Haziran'!$B$30="","","Haziran")</f>
        <v/>
      </c>
      <c r="E326" s="14">
        <f>'Haziran'!$D$30</f>
        <v/>
      </c>
      <c r="F326" s="14">
        <f>'Haziran'!$E$30</f>
        <v/>
      </c>
      <c r="G326" s="14">
        <f>'Haziran'!$F$30</f>
        <v/>
      </c>
      <c r="H326" s="14">
        <f>'Haziran'!$G$30</f>
        <v/>
      </c>
    </row>
    <row r="327">
      <c r="A327" s="9">
        <f>'Temmuz'!$A$30</f>
        <v/>
      </c>
      <c r="B327" s="10">
        <f>'Temmuz'!$B$30</f>
        <v/>
      </c>
      <c r="C327" s="9">
        <f>'Temmuz'!$C$30</f>
        <v/>
      </c>
      <c r="D327" s="9">
        <f>IF('Temmuz'!$B$30="","","Temmuz")</f>
        <v/>
      </c>
      <c r="E327" s="11">
        <f>'Temmuz'!$D$30</f>
        <v/>
      </c>
      <c r="F327" s="11">
        <f>'Temmuz'!$E$30</f>
        <v/>
      </c>
      <c r="G327" s="11">
        <f>'Temmuz'!$F$30</f>
        <v/>
      </c>
      <c r="H327" s="11">
        <f>'Temmuz'!$G$30</f>
        <v/>
      </c>
    </row>
    <row r="328">
      <c r="A328" s="12">
        <f>'Ağustos'!$A$30</f>
        <v/>
      </c>
      <c r="B328" s="13">
        <f>'Ağustos'!$B$30</f>
        <v/>
      </c>
      <c r="C328" s="12">
        <f>'Ağustos'!$C$30</f>
        <v/>
      </c>
      <c r="D328" s="12">
        <f>IF('Ağustos'!$B$30="","","Ağustos")</f>
        <v/>
      </c>
      <c r="E328" s="14">
        <f>'Ağustos'!$D$30</f>
        <v/>
      </c>
      <c r="F328" s="14">
        <f>'Ağustos'!$E$30</f>
        <v/>
      </c>
      <c r="G328" s="14">
        <f>'Ağustos'!$F$30</f>
        <v/>
      </c>
      <c r="H328" s="14">
        <f>'Ağustos'!$G$30</f>
        <v/>
      </c>
    </row>
    <row r="329">
      <c r="A329" s="9">
        <f>'Eylül'!$A$30</f>
        <v/>
      </c>
      <c r="B329" s="10">
        <f>'Eylül'!$B$30</f>
        <v/>
      </c>
      <c r="C329" s="9">
        <f>'Eylül'!$C$30</f>
        <v/>
      </c>
      <c r="D329" s="9">
        <f>IF('Eylül'!$B$30="","","Eylül")</f>
        <v/>
      </c>
      <c r="E329" s="11">
        <f>'Eylül'!$D$30</f>
        <v/>
      </c>
      <c r="F329" s="11">
        <f>'Eylül'!$E$30</f>
        <v/>
      </c>
      <c r="G329" s="11">
        <f>'Eylül'!$F$30</f>
        <v/>
      </c>
      <c r="H329" s="11">
        <f>'Eylül'!$G$30</f>
        <v/>
      </c>
    </row>
    <row r="330">
      <c r="A330" s="12">
        <f>'Ekim'!$A$30</f>
        <v/>
      </c>
      <c r="B330" s="13">
        <f>'Ekim'!$B$30</f>
        <v/>
      </c>
      <c r="C330" s="12">
        <f>'Ekim'!$C$30</f>
        <v/>
      </c>
      <c r="D330" s="12">
        <f>IF('Ekim'!$B$30="","","Ekim")</f>
        <v/>
      </c>
      <c r="E330" s="14">
        <f>'Ekim'!$D$30</f>
        <v/>
      </c>
      <c r="F330" s="14">
        <f>'Ekim'!$E$30</f>
        <v/>
      </c>
      <c r="G330" s="14">
        <f>'Ekim'!$F$30</f>
        <v/>
      </c>
      <c r="H330" s="14">
        <f>'Ekim'!$G$30</f>
        <v/>
      </c>
    </row>
    <row r="331">
      <c r="A331" s="9">
        <f>'Kasım'!$A$30</f>
        <v/>
      </c>
      <c r="B331" s="10">
        <f>'Kasım'!$B$30</f>
        <v/>
      </c>
      <c r="C331" s="9">
        <f>'Kasım'!$C$30</f>
        <v/>
      </c>
      <c r="D331" s="9">
        <f>IF('Kasım'!$B$30="","","Kasım")</f>
        <v/>
      </c>
      <c r="E331" s="11">
        <f>'Kasım'!$D$30</f>
        <v/>
      </c>
      <c r="F331" s="11">
        <f>'Kasım'!$E$30</f>
        <v/>
      </c>
      <c r="G331" s="11">
        <f>'Kasım'!$F$30</f>
        <v/>
      </c>
      <c r="H331" s="11">
        <f>'Kasım'!$G$30</f>
        <v/>
      </c>
    </row>
    <row r="332">
      <c r="A332" s="12">
        <f>'Aralık'!$A$30</f>
        <v/>
      </c>
      <c r="B332" s="13">
        <f>'Aralık'!$B$30</f>
        <v/>
      </c>
      <c r="C332" s="12">
        <f>'Aralık'!$C$30</f>
        <v/>
      </c>
      <c r="D332" s="12">
        <f>IF('Aralık'!$B$30="","","Aralık")</f>
        <v/>
      </c>
      <c r="E332" s="14">
        <f>'Aralık'!$D$30</f>
        <v/>
      </c>
      <c r="F332" s="14">
        <f>'Aralık'!$E$30</f>
        <v/>
      </c>
      <c r="G332" s="14">
        <f>'Aralık'!$F$30</f>
        <v/>
      </c>
      <c r="H332" s="14">
        <f>'Aralık'!$G$30</f>
        <v/>
      </c>
    </row>
    <row r="333" ht="20" customHeight="1">
      <c r="A333" s="15">
        <f>$A$321</f>
        <v/>
      </c>
      <c r="B333" s="16">
        <f>$B$321</f>
        <v/>
      </c>
      <c r="C333" s="15">
        <f>$C$321</f>
        <v/>
      </c>
      <c r="D333" s="15">
        <f>IF($B$321="","","YILLIK TOPLAM")</f>
        <v/>
      </c>
      <c r="E333" s="17">
        <f>IF($B$321="","",SUM(E321:E332))</f>
        <v/>
      </c>
      <c r="F333" s="17">
        <f>IF($B$321="","",SUM(F321:F332))</f>
        <v/>
      </c>
      <c r="G333" s="17">
        <f>IF($B$321="","",SUM(G321:G332))</f>
        <v/>
      </c>
      <c r="H333" s="17">
        <f>IF($B$321="","",SUM(H321:H332))</f>
        <v/>
      </c>
    </row>
  </sheetData>
  <autoFilter ref="A7:H333"/>
  <mergeCells count="8">
    <mergeCell ref="A4:B4"/>
    <mergeCell ref="F4:G4"/>
    <mergeCell ref="A2:H2"/>
    <mergeCell ref="F5:G5"/>
    <mergeCell ref="C5:D5"/>
    <mergeCell ref="A5:B5"/>
    <mergeCell ref="A1:H1"/>
    <mergeCell ref="C4:D4"/>
  </mergeCells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4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</cols>
  <sheetData>
    <row r="1" ht="38" customHeight="1">
      <c r="A1" s="1" t="inlineStr">
        <is>
          <t>2026 YILI AYLIK PERSONEL PUANTAJ VE MESAİ RAPORU</t>
        </is>
      </c>
      <c r="B1" s="1" t="n"/>
      <c r="C1" s="1" t="n"/>
      <c r="D1" s="1" t="n"/>
      <c r="E1" s="1" t="n"/>
      <c r="F1" s="1" t="n"/>
      <c r="G1" s="1" t="n"/>
      <c r="H1" s="1" t="n"/>
    </row>
    <row r="3" ht="26" customHeight="1">
      <c r="A3" s="18" t="inlineStr">
        <is>
          <t>RAPOR AYI  ▸</t>
        </is>
      </c>
      <c r="B3" s="18" t="n"/>
      <c r="C3" s="19" t="inlineStr">
        <is>
          <t>Eylül</t>
        </is>
      </c>
      <c r="D3" s="20">
        <f>"Takvim gün sayısı: "&amp;CHOOSE(MATCH($C$3,{"Ocak","Şubat","Mart","Nisan","Mayıs","Haziran","Temmuz","Ağustos","Eylül","Ekim","Kasım","Aralık"},0),31,28,31,30,31,30,31,31,30,31,30,31)&amp;"   |   Ayı sarı hücreden seçin."</f>
        <v/>
      </c>
      <c r="E3" s="20" t="n"/>
      <c r="F3" s="20" t="n"/>
      <c r="G3" s="20" t="n"/>
      <c r="H3" s="20" t="n"/>
    </row>
    <row r="5" ht="30" customHeight="1">
      <c r="A5" s="8" t="inlineStr">
        <is>
          <t>S.N</t>
        </is>
      </c>
      <c r="B5" s="8" t="inlineStr">
        <is>
          <t>Ad Soyad</t>
        </is>
      </c>
      <c r="C5" s="8" t="inlineStr">
        <is>
          <t>Birim</t>
        </is>
      </c>
      <c r="D5" s="8" t="inlineStr">
        <is>
          <t>Çalışılan Gün</t>
        </is>
      </c>
      <c r="E5" s="8" t="inlineStr">
        <is>
          <t>Devamsız Gün</t>
        </is>
      </c>
      <c r="F5" s="8" t="inlineStr">
        <is>
          <t>İzin / Rapor</t>
        </is>
      </c>
      <c r="G5" s="8" t="inlineStr">
        <is>
          <t>Mesai (Saat)</t>
        </is>
      </c>
      <c r="H5" s="8" t="inlineStr">
        <is>
          <t>Devam Oranı</t>
        </is>
      </c>
    </row>
    <row r="6">
      <c r="A6" s="9">
        <f>IF($B6="","",Personel_Listesi!$A5)</f>
        <v/>
      </c>
      <c r="B6" s="21">
        <f>IF(Personel_Listesi!$B5="","",UPPER(Personel_Listesi!$B5))</f>
        <v/>
      </c>
      <c r="C6" s="9">
        <f>IF($B6="","",Personel_Listesi!$C5&amp;"")</f>
        <v/>
      </c>
      <c r="D6" s="11">
        <f>IF($B6="","",CHOOSE(MATCH($C$3,{"Ocak","Şubat","Mart","Nisan","Mayıs","Haziran","Temmuz","Ağustos","Eylül","Ekim","Kasım","Aralık"},0),'Ocak'!$D$6,'Şubat'!$D$6,'Mart'!$D$6,'Nisan'!$D$6,'Mayıs'!$D$6,'Haziran'!$D$6,'Temmuz'!$D$6,'Ağustos'!$D$6,'Eylül'!$D$6,'Ekim'!$D$6,'Kasım'!$D$6,'Aralık'!$D$6))</f>
        <v/>
      </c>
      <c r="E6" s="11">
        <f>IF($B6="","",CHOOSE(MATCH($C$3,{"Ocak","Şubat","Mart","Nisan","Mayıs","Haziran","Temmuz","Ağustos","Eylül","Ekim","Kasım","Aralık"},0),'Ocak'!$E$6,'Şubat'!$E$6,'Mart'!$E$6,'Nisan'!$E$6,'Mayıs'!$E$6,'Haziran'!$E$6,'Temmuz'!$E$6,'Ağustos'!$E$6,'Eylül'!$E$6,'Ekim'!$E$6,'Kasım'!$E$6,'Aralık'!$E$6))</f>
        <v/>
      </c>
      <c r="F6" s="11">
        <f>IF($B6="","",CHOOSE(MATCH($C$3,{"Ocak","Şubat","Mart","Nisan","Mayıs","Haziran","Temmuz","Ağustos","Eylül","Ekim","Kasım","Aralık"},0),'Ocak'!$F$6,'Şubat'!$F$6,'Mart'!$F$6,'Nisan'!$F$6,'Mayıs'!$F$6,'Haziran'!$F$6,'Temmuz'!$F$6,'Ağustos'!$F$6,'Eylül'!$F$6,'Ekim'!$F$6,'Kasım'!$F$6,'Aralık'!$F$6))</f>
        <v/>
      </c>
      <c r="G6" s="11">
        <f>IF($B6="","",CHOOSE(MATCH($C$3,{"Ocak","Şubat","Mart","Nisan","Mayıs","Haziran","Temmuz","Ağustos","Eylül","Ekim","Kasım","Aralık"},0),'Ocak'!$G$6,'Şubat'!$G$6,'Mart'!$G$6,'Nisan'!$G$6,'Mayıs'!$G$6,'Haziran'!$G$6,'Temmuz'!$G$6,'Ağustos'!$G$6,'Eylül'!$G$6,'Ekim'!$G$6,'Kasım'!$G$6,'Aralık'!$G$6))</f>
        <v/>
      </c>
      <c r="H6" s="22">
        <f>IF($B6="","",IF(D6+E6=0,"",D6/(D6+E6)))</f>
        <v/>
      </c>
    </row>
    <row r="7">
      <c r="A7" s="12">
        <f>IF($B7="","",Personel_Listesi!$A6)</f>
        <v/>
      </c>
      <c r="B7" s="23">
        <f>IF(Personel_Listesi!$B6="","",UPPER(Personel_Listesi!$B6))</f>
        <v/>
      </c>
      <c r="C7" s="12">
        <f>IF($B7="","",Personel_Listesi!$C6&amp;"")</f>
        <v/>
      </c>
      <c r="D7" s="14">
        <f>IF($B7="","",CHOOSE(MATCH($C$3,{"Ocak","Şubat","Mart","Nisan","Mayıs","Haziran","Temmuz","Ağustos","Eylül","Ekim","Kasım","Aralık"},0),'Ocak'!$D$7,'Şubat'!$D$7,'Mart'!$D$7,'Nisan'!$D$7,'Mayıs'!$D$7,'Haziran'!$D$7,'Temmuz'!$D$7,'Ağustos'!$D$7,'Eylül'!$D$7,'Ekim'!$D$7,'Kasım'!$D$7,'Aralık'!$D$7))</f>
        <v/>
      </c>
      <c r="E7" s="14">
        <f>IF($B7="","",CHOOSE(MATCH($C$3,{"Ocak","Şubat","Mart","Nisan","Mayıs","Haziran","Temmuz","Ağustos","Eylül","Ekim","Kasım","Aralık"},0),'Ocak'!$E$7,'Şubat'!$E$7,'Mart'!$E$7,'Nisan'!$E$7,'Mayıs'!$E$7,'Haziran'!$E$7,'Temmuz'!$E$7,'Ağustos'!$E$7,'Eylül'!$E$7,'Ekim'!$E$7,'Kasım'!$E$7,'Aralık'!$E$7))</f>
        <v/>
      </c>
      <c r="F7" s="14">
        <f>IF($B7="","",CHOOSE(MATCH($C$3,{"Ocak","Şubat","Mart","Nisan","Mayıs","Haziran","Temmuz","Ağustos","Eylül","Ekim","Kasım","Aralık"},0),'Ocak'!$F$7,'Şubat'!$F$7,'Mart'!$F$7,'Nisan'!$F$7,'Mayıs'!$F$7,'Haziran'!$F$7,'Temmuz'!$F$7,'Ağustos'!$F$7,'Eylül'!$F$7,'Ekim'!$F$7,'Kasım'!$F$7,'Aralık'!$F$7))</f>
        <v/>
      </c>
      <c r="G7" s="14">
        <f>IF($B7="","",CHOOSE(MATCH($C$3,{"Ocak","Şubat","Mart","Nisan","Mayıs","Haziran","Temmuz","Ağustos","Eylül","Ekim","Kasım","Aralık"},0),'Ocak'!$G$7,'Şubat'!$G$7,'Mart'!$G$7,'Nisan'!$G$7,'Mayıs'!$G$7,'Haziran'!$G$7,'Temmuz'!$G$7,'Ağustos'!$G$7,'Eylül'!$G$7,'Ekim'!$G$7,'Kasım'!$G$7,'Aralık'!$G$7))</f>
        <v/>
      </c>
      <c r="H7" s="24">
        <f>IF($B7="","",IF(D7+E7=0,"",D7/(D7+E7)))</f>
        <v/>
      </c>
    </row>
    <row r="8">
      <c r="A8" s="9">
        <f>IF($B8="","",Personel_Listesi!$A7)</f>
        <v/>
      </c>
      <c r="B8" s="21">
        <f>IF(Personel_Listesi!$B7="","",UPPER(Personel_Listesi!$B7))</f>
        <v/>
      </c>
      <c r="C8" s="9">
        <f>IF($B8="","",Personel_Listesi!$C7&amp;"")</f>
        <v/>
      </c>
      <c r="D8" s="11">
        <f>IF($B8="","",CHOOSE(MATCH($C$3,{"Ocak","Şubat","Mart","Nisan","Mayıs","Haziran","Temmuz","Ağustos","Eylül","Ekim","Kasım","Aralık"},0),'Ocak'!$D$8,'Şubat'!$D$8,'Mart'!$D$8,'Nisan'!$D$8,'Mayıs'!$D$8,'Haziran'!$D$8,'Temmuz'!$D$8,'Ağustos'!$D$8,'Eylül'!$D$8,'Ekim'!$D$8,'Kasım'!$D$8,'Aralık'!$D$8))</f>
        <v/>
      </c>
      <c r="E8" s="11">
        <f>IF($B8="","",CHOOSE(MATCH($C$3,{"Ocak","Şubat","Mart","Nisan","Mayıs","Haziran","Temmuz","Ağustos","Eylül","Ekim","Kasım","Aralık"},0),'Ocak'!$E$8,'Şubat'!$E$8,'Mart'!$E$8,'Nisan'!$E$8,'Mayıs'!$E$8,'Haziran'!$E$8,'Temmuz'!$E$8,'Ağustos'!$E$8,'Eylül'!$E$8,'Ekim'!$E$8,'Kasım'!$E$8,'Aralık'!$E$8))</f>
        <v/>
      </c>
      <c r="F8" s="11">
        <f>IF($B8="","",CHOOSE(MATCH($C$3,{"Ocak","Şubat","Mart","Nisan","Mayıs","Haziran","Temmuz","Ağustos","Eylül","Ekim","Kasım","Aralık"},0),'Ocak'!$F$8,'Şubat'!$F$8,'Mart'!$F$8,'Nisan'!$F$8,'Mayıs'!$F$8,'Haziran'!$F$8,'Temmuz'!$F$8,'Ağustos'!$F$8,'Eylül'!$F$8,'Ekim'!$F$8,'Kasım'!$F$8,'Aralık'!$F$8))</f>
        <v/>
      </c>
      <c r="G8" s="11">
        <f>IF($B8="","",CHOOSE(MATCH($C$3,{"Ocak","Şubat","Mart","Nisan","Mayıs","Haziran","Temmuz","Ağustos","Eylül","Ekim","Kasım","Aralık"},0),'Ocak'!$G$8,'Şubat'!$G$8,'Mart'!$G$8,'Nisan'!$G$8,'Mayıs'!$G$8,'Haziran'!$G$8,'Temmuz'!$G$8,'Ağustos'!$G$8,'Eylül'!$G$8,'Ekim'!$G$8,'Kasım'!$G$8,'Aralık'!$G$8))</f>
        <v/>
      </c>
      <c r="H8" s="22">
        <f>IF($B8="","",IF(D8+E8=0,"",D8/(D8+E8)))</f>
        <v/>
      </c>
    </row>
    <row r="9">
      <c r="A9" s="12">
        <f>IF($B9="","",Personel_Listesi!$A8)</f>
        <v/>
      </c>
      <c r="B9" s="23">
        <f>IF(Personel_Listesi!$B8="","",UPPER(Personel_Listesi!$B8))</f>
        <v/>
      </c>
      <c r="C9" s="12">
        <f>IF($B9="","",Personel_Listesi!$C8&amp;"")</f>
        <v/>
      </c>
      <c r="D9" s="14">
        <f>IF($B9="","",CHOOSE(MATCH($C$3,{"Ocak","Şubat","Mart","Nisan","Mayıs","Haziran","Temmuz","Ağustos","Eylül","Ekim","Kasım","Aralık"},0),'Ocak'!$D$9,'Şubat'!$D$9,'Mart'!$D$9,'Nisan'!$D$9,'Mayıs'!$D$9,'Haziran'!$D$9,'Temmuz'!$D$9,'Ağustos'!$D$9,'Eylül'!$D$9,'Ekim'!$D$9,'Kasım'!$D$9,'Aralık'!$D$9))</f>
        <v/>
      </c>
      <c r="E9" s="14">
        <f>IF($B9="","",CHOOSE(MATCH($C$3,{"Ocak","Şubat","Mart","Nisan","Mayıs","Haziran","Temmuz","Ağustos","Eylül","Ekim","Kasım","Aralık"},0),'Ocak'!$E$9,'Şubat'!$E$9,'Mart'!$E$9,'Nisan'!$E$9,'Mayıs'!$E$9,'Haziran'!$E$9,'Temmuz'!$E$9,'Ağustos'!$E$9,'Eylül'!$E$9,'Ekim'!$E$9,'Kasım'!$E$9,'Aralık'!$E$9))</f>
        <v/>
      </c>
      <c r="F9" s="14">
        <f>IF($B9="","",CHOOSE(MATCH($C$3,{"Ocak","Şubat","Mart","Nisan","Mayıs","Haziran","Temmuz","Ağustos","Eylül","Ekim","Kasım","Aralık"},0),'Ocak'!$F$9,'Şubat'!$F$9,'Mart'!$F$9,'Nisan'!$F$9,'Mayıs'!$F$9,'Haziran'!$F$9,'Temmuz'!$F$9,'Ağustos'!$F$9,'Eylül'!$F$9,'Ekim'!$F$9,'Kasım'!$F$9,'Aralık'!$F$9))</f>
        <v/>
      </c>
      <c r="G9" s="14">
        <f>IF($B9="","",CHOOSE(MATCH($C$3,{"Ocak","Şubat","Mart","Nisan","Mayıs","Haziran","Temmuz","Ağustos","Eylül","Ekim","Kasım","Aralık"},0),'Ocak'!$G$9,'Şubat'!$G$9,'Mart'!$G$9,'Nisan'!$G$9,'Mayıs'!$G$9,'Haziran'!$G$9,'Temmuz'!$G$9,'Ağustos'!$G$9,'Eylül'!$G$9,'Ekim'!$G$9,'Kasım'!$G$9,'Aralık'!$G$9))</f>
        <v/>
      </c>
      <c r="H9" s="24">
        <f>IF($B9="","",IF(D9+E9=0,"",D9/(D9+E9)))</f>
        <v/>
      </c>
    </row>
    <row r="10">
      <c r="A10" s="9">
        <f>IF($B10="","",Personel_Listesi!$A9)</f>
        <v/>
      </c>
      <c r="B10" s="21">
        <f>IF(Personel_Listesi!$B9="","",UPPER(Personel_Listesi!$B9))</f>
        <v/>
      </c>
      <c r="C10" s="9">
        <f>IF($B10="","",Personel_Listesi!$C9&amp;"")</f>
        <v/>
      </c>
      <c r="D10" s="11">
        <f>IF($B10="","",CHOOSE(MATCH($C$3,{"Ocak","Şubat","Mart","Nisan","Mayıs","Haziran","Temmuz","Ağustos","Eylül","Ekim","Kasım","Aralık"},0),'Ocak'!$D$10,'Şubat'!$D$10,'Mart'!$D$10,'Nisan'!$D$10,'Mayıs'!$D$10,'Haziran'!$D$10,'Temmuz'!$D$10,'Ağustos'!$D$10,'Eylül'!$D$10,'Ekim'!$D$10,'Kasım'!$D$10,'Aralık'!$D$10))</f>
        <v/>
      </c>
      <c r="E10" s="11">
        <f>IF($B10="","",CHOOSE(MATCH($C$3,{"Ocak","Şubat","Mart","Nisan","Mayıs","Haziran","Temmuz","Ağustos","Eylül","Ekim","Kasım","Aralık"},0),'Ocak'!$E$10,'Şubat'!$E$10,'Mart'!$E$10,'Nisan'!$E$10,'Mayıs'!$E$10,'Haziran'!$E$10,'Temmuz'!$E$10,'Ağustos'!$E$10,'Eylül'!$E$10,'Ekim'!$E$10,'Kasım'!$E$10,'Aralık'!$E$10))</f>
        <v/>
      </c>
      <c r="F10" s="11">
        <f>IF($B10="","",CHOOSE(MATCH($C$3,{"Ocak","Şubat","Mart","Nisan","Mayıs","Haziran","Temmuz","Ağustos","Eylül","Ekim","Kasım","Aralık"},0),'Ocak'!$F$10,'Şubat'!$F$10,'Mart'!$F$10,'Nisan'!$F$10,'Mayıs'!$F$10,'Haziran'!$F$10,'Temmuz'!$F$10,'Ağustos'!$F$10,'Eylül'!$F$10,'Ekim'!$F$10,'Kasım'!$F$10,'Aralık'!$F$10))</f>
        <v/>
      </c>
      <c r="G10" s="11">
        <f>IF($B10="","",CHOOSE(MATCH($C$3,{"Ocak","Şubat","Mart","Nisan","Mayıs","Haziran","Temmuz","Ağustos","Eylül","Ekim","Kasım","Aralık"},0),'Ocak'!$G$10,'Şubat'!$G$10,'Mart'!$G$10,'Nisan'!$G$10,'Mayıs'!$G$10,'Haziran'!$G$10,'Temmuz'!$G$10,'Ağustos'!$G$10,'Eylül'!$G$10,'Ekim'!$G$10,'Kasım'!$G$10,'Aralık'!$G$10))</f>
        <v/>
      </c>
      <c r="H10" s="22">
        <f>IF($B10="","",IF(D10+E10=0,"",D10/(D10+E10)))</f>
        <v/>
      </c>
    </row>
    <row r="11">
      <c r="A11" s="12">
        <f>IF($B11="","",Personel_Listesi!$A10)</f>
        <v/>
      </c>
      <c r="B11" s="23">
        <f>IF(Personel_Listesi!$B10="","",UPPER(Personel_Listesi!$B10))</f>
        <v/>
      </c>
      <c r="C11" s="12">
        <f>IF($B11="","",Personel_Listesi!$C10&amp;"")</f>
        <v/>
      </c>
      <c r="D11" s="14">
        <f>IF($B11="","",CHOOSE(MATCH($C$3,{"Ocak","Şubat","Mart","Nisan","Mayıs","Haziran","Temmuz","Ağustos","Eylül","Ekim","Kasım","Aralık"},0),'Ocak'!$D$11,'Şubat'!$D$11,'Mart'!$D$11,'Nisan'!$D$11,'Mayıs'!$D$11,'Haziran'!$D$11,'Temmuz'!$D$11,'Ağustos'!$D$11,'Eylül'!$D$11,'Ekim'!$D$11,'Kasım'!$D$11,'Aralık'!$D$11))</f>
        <v/>
      </c>
      <c r="E11" s="14">
        <f>IF($B11="","",CHOOSE(MATCH($C$3,{"Ocak","Şubat","Mart","Nisan","Mayıs","Haziran","Temmuz","Ağustos","Eylül","Ekim","Kasım","Aralık"},0),'Ocak'!$E$11,'Şubat'!$E$11,'Mart'!$E$11,'Nisan'!$E$11,'Mayıs'!$E$11,'Haziran'!$E$11,'Temmuz'!$E$11,'Ağustos'!$E$11,'Eylül'!$E$11,'Ekim'!$E$11,'Kasım'!$E$11,'Aralık'!$E$11))</f>
        <v/>
      </c>
      <c r="F11" s="14">
        <f>IF($B11="","",CHOOSE(MATCH($C$3,{"Ocak","Şubat","Mart","Nisan","Mayıs","Haziran","Temmuz","Ağustos","Eylül","Ekim","Kasım","Aralık"},0),'Ocak'!$F$11,'Şubat'!$F$11,'Mart'!$F$11,'Nisan'!$F$11,'Mayıs'!$F$11,'Haziran'!$F$11,'Temmuz'!$F$11,'Ağustos'!$F$11,'Eylül'!$F$11,'Ekim'!$F$11,'Kasım'!$F$11,'Aralık'!$F$11))</f>
        <v/>
      </c>
      <c r="G11" s="14">
        <f>IF($B11="","",CHOOSE(MATCH($C$3,{"Ocak","Şubat","Mart","Nisan","Mayıs","Haziran","Temmuz","Ağustos","Eylül","Ekim","Kasım","Aralık"},0),'Ocak'!$G$11,'Şubat'!$G$11,'Mart'!$G$11,'Nisan'!$G$11,'Mayıs'!$G$11,'Haziran'!$G$11,'Temmuz'!$G$11,'Ağustos'!$G$11,'Eylül'!$G$11,'Ekim'!$G$11,'Kasım'!$G$11,'Aralık'!$G$11))</f>
        <v/>
      </c>
      <c r="H11" s="24">
        <f>IF($B11="","",IF(D11+E11=0,"",D11/(D11+E11)))</f>
        <v/>
      </c>
    </row>
    <row r="12">
      <c r="A12" s="9">
        <f>IF($B12="","",Personel_Listesi!$A11)</f>
        <v/>
      </c>
      <c r="B12" s="21">
        <f>IF(Personel_Listesi!$B11="","",UPPER(Personel_Listesi!$B11))</f>
        <v/>
      </c>
      <c r="C12" s="9">
        <f>IF($B12="","",Personel_Listesi!$C11&amp;"")</f>
        <v/>
      </c>
      <c r="D12" s="11">
        <f>IF($B12="","",CHOOSE(MATCH($C$3,{"Ocak","Şubat","Mart","Nisan","Mayıs","Haziran","Temmuz","Ağustos","Eylül","Ekim","Kasım","Aralık"},0),'Ocak'!$D$12,'Şubat'!$D$12,'Mart'!$D$12,'Nisan'!$D$12,'Mayıs'!$D$12,'Haziran'!$D$12,'Temmuz'!$D$12,'Ağustos'!$D$12,'Eylül'!$D$12,'Ekim'!$D$12,'Kasım'!$D$12,'Aralık'!$D$12))</f>
        <v/>
      </c>
      <c r="E12" s="11">
        <f>IF($B12="","",CHOOSE(MATCH($C$3,{"Ocak","Şubat","Mart","Nisan","Mayıs","Haziran","Temmuz","Ağustos","Eylül","Ekim","Kasım","Aralık"},0),'Ocak'!$E$12,'Şubat'!$E$12,'Mart'!$E$12,'Nisan'!$E$12,'Mayıs'!$E$12,'Haziran'!$E$12,'Temmuz'!$E$12,'Ağustos'!$E$12,'Eylül'!$E$12,'Ekim'!$E$12,'Kasım'!$E$12,'Aralık'!$E$12))</f>
        <v/>
      </c>
      <c r="F12" s="11">
        <f>IF($B12="","",CHOOSE(MATCH($C$3,{"Ocak","Şubat","Mart","Nisan","Mayıs","Haziran","Temmuz","Ağustos","Eylül","Ekim","Kasım","Aralık"},0),'Ocak'!$F$12,'Şubat'!$F$12,'Mart'!$F$12,'Nisan'!$F$12,'Mayıs'!$F$12,'Haziran'!$F$12,'Temmuz'!$F$12,'Ağustos'!$F$12,'Eylül'!$F$12,'Ekim'!$F$12,'Kasım'!$F$12,'Aralık'!$F$12))</f>
        <v/>
      </c>
      <c r="G12" s="11">
        <f>IF($B12="","",CHOOSE(MATCH($C$3,{"Ocak","Şubat","Mart","Nisan","Mayıs","Haziran","Temmuz","Ağustos","Eylül","Ekim","Kasım","Aralık"},0),'Ocak'!$G$12,'Şubat'!$G$12,'Mart'!$G$12,'Nisan'!$G$12,'Mayıs'!$G$12,'Haziran'!$G$12,'Temmuz'!$G$12,'Ağustos'!$G$12,'Eylül'!$G$12,'Ekim'!$G$12,'Kasım'!$G$12,'Aralık'!$G$12))</f>
        <v/>
      </c>
      <c r="H12" s="22">
        <f>IF($B12="","",IF(D12+E12=0,"",D12/(D12+E12)))</f>
        <v/>
      </c>
    </row>
    <row r="13">
      <c r="A13" s="12">
        <f>IF($B13="","",Personel_Listesi!$A12)</f>
        <v/>
      </c>
      <c r="B13" s="23">
        <f>IF(Personel_Listesi!$B12="","",UPPER(Personel_Listesi!$B12))</f>
        <v/>
      </c>
      <c r="C13" s="12">
        <f>IF($B13="","",Personel_Listesi!$C12&amp;"")</f>
        <v/>
      </c>
      <c r="D13" s="14">
        <f>IF($B13="","",CHOOSE(MATCH($C$3,{"Ocak","Şubat","Mart","Nisan","Mayıs","Haziran","Temmuz","Ağustos","Eylül","Ekim","Kasım","Aralık"},0),'Ocak'!$D$13,'Şubat'!$D$13,'Mart'!$D$13,'Nisan'!$D$13,'Mayıs'!$D$13,'Haziran'!$D$13,'Temmuz'!$D$13,'Ağustos'!$D$13,'Eylül'!$D$13,'Ekim'!$D$13,'Kasım'!$D$13,'Aralık'!$D$13))</f>
        <v/>
      </c>
      <c r="E13" s="14">
        <f>IF($B13="","",CHOOSE(MATCH($C$3,{"Ocak","Şubat","Mart","Nisan","Mayıs","Haziran","Temmuz","Ağustos","Eylül","Ekim","Kasım","Aralık"},0),'Ocak'!$E$13,'Şubat'!$E$13,'Mart'!$E$13,'Nisan'!$E$13,'Mayıs'!$E$13,'Haziran'!$E$13,'Temmuz'!$E$13,'Ağustos'!$E$13,'Eylül'!$E$13,'Ekim'!$E$13,'Kasım'!$E$13,'Aralık'!$E$13))</f>
        <v/>
      </c>
      <c r="F13" s="14">
        <f>IF($B13="","",CHOOSE(MATCH($C$3,{"Ocak","Şubat","Mart","Nisan","Mayıs","Haziran","Temmuz","Ağustos","Eylül","Ekim","Kasım","Aralık"},0),'Ocak'!$F$13,'Şubat'!$F$13,'Mart'!$F$13,'Nisan'!$F$13,'Mayıs'!$F$13,'Haziran'!$F$13,'Temmuz'!$F$13,'Ağustos'!$F$13,'Eylül'!$F$13,'Ekim'!$F$13,'Kasım'!$F$13,'Aralık'!$F$13))</f>
        <v/>
      </c>
      <c r="G13" s="14">
        <f>IF($B13="","",CHOOSE(MATCH($C$3,{"Ocak","Şubat","Mart","Nisan","Mayıs","Haziran","Temmuz","Ağustos","Eylül","Ekim","Kasım","Aralık"},0),'Ocak'!$G$13,'Şubat'!$G$13,'Mart'!$G$13,'Nisan'!$G$13,'Mayıs'!$G$13,'Haziran'!$G$13,'Temmuz'!$G$13,'Ağustos'!$G$13,'Eylül'!$G$13,'Ekim'!$G$13,'Kasım'!$G$13,'Aralık'!$G$13))</f>
        <v/>
      </c>
      <c r="H13" s="24">
        <f>IF($B13="","",IF(D13+E13=0,"",D13/(D13+E13)))</f>
        <v/>
      </c>
    </row>
    <row r="14">
      <c r="A14" s="9">
        <f>IF($B14="","",Personel_Listesi!$A13)</f>
        <v/>
      </c>
      <c r="B14" s="21">
        <f>IF(Personel_Listesi!$B13="","",UPPER(Personel_Listesi!$B13))</f>
        <v/>
      </c>
      <c r="C14" s="9">
        <f>IF($B14="","",Personel_Listesi!$C13&amp;"")</f>
        <v/>
      </c>
      <c r="D14" s="11">
        <f>IF($B14="","",CHOOSE(MATCH($C$3,{"Ocak","Şubat","Mart","Nisan","Mayıs","Haziran","Temmuz","Ağustos","Eylül","Ekim","Kasım","Aralık"},0),'Ocak'!$D$14,'Şubat'!$D$14,'Mart'!$D$14,'Nisan'!$D$14,'Mayıs'!$D$14,'Haziran'!$D$14,'Temmuz'!$D$14,'Ağustos'!$D$14,'Eylül'!$D$14,'Ekim'!$D$14,'Kasım'!$D$14,'Aralık'!$D$14))</f>
        <v/>
      </c>
      <c r="E14" s="11">
        <f>IF($B14="","",CHOOSE(MATCH($C$3,{"Ocak","Şubat","Mart","Nisan","Mayıs","Haziran","Temmuz","Ağustos","Eylül","Ekim","Kasım","Aralık"},0),'Ocak'!$E$14,'Şubat'!$E$14,'Mart'!$E$14,'Nisan'!$E$14,'Mayıs'!$E$14,'Haziran'!$E$14,'Temmuz'!$E$14,'Ağustos'!$E$14,'Eylül'!$E$14,'Ekim'!$E$14,'Kasım'!$E$14,'Aralık'!$E$14))</f>
        <v/>
      </c>
      <c r="F14" s="11">
        <f>IF($B14="","",CHOOSE(MATCH($C$3,{"Ocak","Şubat","Mart","Nisan","Mayıs","Haziran","Temmuz","Ağustos","Eylül","Ekim","Kasım","Aralık"},0),'Ocak'!$F$14,'Şubat'!$F$14,'Mart'!$F$14,'Nisan'!$F$14,'Mayıs'!$F$14,'Haziran'!$F$14,'Temmuz'!$F$14,'Ağustos'!$F$14,'Eylül'!$F$14,'Ekim'!$F$14,'Kasım'!$F$14,'Aralık'!$F$14))</f>
        <v/>
      </c>
      <c r="G14" s="11">
        <f>IF($B14="","",CHOOSE(MATCH($C$3,{"Ocak","Şubat","Mart","Nisan","Mayıs","Haziran","Temmuz","Ağustos","Eylül","Ekim","Kasım","Aralık"},0),'Ocak'!$G$14,'Şubat'!$G$14,'Mart'!$G$14,'Nisan'!$G$14,'Mayıs'!$G$14,'Haziran'!$G$14,'Temmuz'!$G$14,'Ağustos'!$G$14,'Eylül'!$G$14,'Ekim'!$G$14,'Kasım'!$G$14,'Aralık'!$G$14))</f>
        <v/>
      </c>
      <c r="H14" s="22">
        <f>IF($B14="","",IF(D14+E14=0,"",D14/(D14+E14)))</f>
        <v/>
      </c>
    </row>
    <row r="15">
      <c r="A15" s="12">
        <f>IF($B15="","",Personel_Listesi!$A14)</f>
        <v/>
      </c>
      <c r="B15" s="23">
        <f>IF(Personel_Listesi!$B14="","",UPPER(Personel_Listesi!$B14))</f>
        <v/>
      </c>
      <c r="C15" s="12">
        <f>IF($B15="","",Personel_Listesi!$C14&amp;"")</f>
        <v/>
      </c>
      <c r="D15" s="14">
        <f>IF($B15="","",CHOOSE(MATCH($C$3,{"Ocak","Şubat","Mart","Nisan","Mayıs","Haziran","Temmuz","Ağustos","Eylül","Ekim","Kasım","Aralık"},0),'Ocak'!$D$15,'Şubat'!$D$15,'Mart'!$D$15,'Nisan'!$D$15,'Mayıs'!$D$15,'Haziran'!$D$15,'Temmuz'!$D$15,'Ağustos'!$D$15,'Eylül'!$D$15,'Ekim'!$D$15,'Kasım'!$D$15,'Aralık'!$D$15))</f>
        <v/>
      </c>
      <c r="E15" s="14">
        <f>IF($B15="","",CHOOSE(MATCH($C$3,{"Ocak","Şubat","Mart","Nisan","Mayıs","Haziran","Temmuz","Ağustos","Eylül","Ekim","Kasım","Aralık"},0),'Ocak'!$E$15,'Şubat'!$E$15,'Mart'!$E$15,'Nisan'!$E$15,'Mayıs'!$E$15,'Haziran'!$E$15,'Temmuz'!$E$15,'Ağustos'!$E$15,'Eylül'!$E$15,'Ekim'!$E$15,'Kasım'!$E$15,'Aralık'!$E$15))</f>
        <v/>
      </c>
      <c r="F15" s="14">
        <f>IF($B15="","",CHOOSE(MATCH($C$3,{"Ocak","Şubat","Mart","Nisan","Mayıs","Haziran","Temmuz","Ağustos","Eylül","Ekim","Kasım","Aralık"},0),'Ocak'!$F$15,'Şubat'!$F$15,'Mart'!$F$15,'Nisan'!$F$15,'Mayıs'!$F$15,'Haziran'!$F$15,'Temmuz'!$F$15,'Ağustos'!$F$15,'Eylül'!$F$15,'Ekim'!$F$15,'Kasım'!$F$15,'Aralık'!$F$15))</f>
        <v/>
      </c>
      <c r="G15" s="14">
        <f>IF($B15="","",CHOOSE(MATCH($C$3,{"Ocak","Şubat","Mart","Nisan","Mayıs","Haziran","Temmuz","Ağustos","Eylül","Ekim","Kasım","Aralık"},0),'Ocak'!$G$15,'Şubat'!$G$15,'Mart'!$G$15,'Nisan'!$G$15,'Mayıs'!$G$15,'Haziran'!$G$15,'Temmuz'!$G$15,'Ağustos'!$G$15,'Eylül'!$G$15,'Ekim'!$G$15,'Kasım'!$G$15,'Aralık'!$G$15))</f>
        <v/>
      </c>
      <c r="H15" s="24">
        <f>IF($B15="","",IF(D15+E15=0,"",D15/(D15+E15)))</f>
        <v/>
      </c>
    </row>
    <row r="16">
      <c r="A16" s="9">
        <f>IF($B16="","",Personel_Listesi!$A15)</f>
        <v/>
      </c>
      <c r="B16" s="21">
        <f>IF(Personel_Listesi!$B15="","",UPPER(Personel_Listesi!$B15))</f>
        <v/>
      </c>
      <c r="C16" s="9">
        <f>IF($B16="","",Personel_Listesi!$C15&amp;"")</f>
        <v/>
      </c>
      <c r="D16" s="11">
        <f>IF($B16="","",CHOOSE(MATCH($C$3,{"Ocak","Şubat","Mart","Nisan","Mayıs","Haziran","Temmuz","Ağustos","Eylül","Ekim","Kasım","Aralık"},0),'Ocak'!$D$16,'Şubat'!$D$16,'Mart'!$D$16,'Nisan'!$D$16,'Mayıs'!$D$16,'Haziran'!$D$16,'Temmuz'!$D$16,'Ağustos'!$D$16,'Eylül'!$D$16,'Ekim'!$D$16,'Kasım'!$D$16,'Aralık'!$D$16))</f>
        <v/>
      </c>
      <c r="E16" s="11">
        <f>IF($B16="","",CHOOSE(MATCH($C$3,{"Ocak","Şubat","Mart","Nisan","Mayıs","Haziran","Temmuz","Ağustos","Eylül","Ekim","Kasım","Aralık"},0),'Ocak'!$E$16,'Şubat'!$E$16,'Mart'!$E$16,'Nisan'!$E$16,'Mayıs'!$E$16,'Haziran'!$E$16,'Temmuz'!$E$16,'Ağustos'!$E$16,'Eylül'!$E$16,'Ekim'!$E$16,'Kasım'!$E$16,'Aralık'!$E$16))</f>
        <v/>
      </c>
      <c r="F16" s="11">
        <f>IF($B16="","",CHOOSE(MATCH($C$3,{"Ocak","Şubat","Mart","Nisan","Mayıs","Haziran","Temmuz","Ağustos","Eylül","Ekim","Kasım","Aralık"},0),'Ocak'!$F$16,'Şubat'!$F$16,'Mart'!$F$16,'Nisan'!$F$16,'Mayıs'!$F$16,'Haziran'!$F$16,'Temmuz'!$F$16,'Ağustos'!$F$16,'Eylül'!$F$16,'Ekim'!$F$16,'Kasım'!$F$16,'Aralık'!$F$16))</f>
        <v/>
      </c>
      <c r="G16" s="11">
        <f>IF($B16="","",CHOOSE(MATCH($C$3,{"Ocak","Şubat","Mart","Nisan","Mayıs","Haziran","Temmuz","Ağustos","Eylül","Ekim","Kasım","Aralık"},0),'Ocak'!$G$16,'Şubat'!$G$16,'Mart'!$G$16,'Nisan'!$G$16,'Mayıs'!$G$16,'Haziran'!$G$16,'Temmuz'!$G$16,'Ağustos'!$G$16,'Eylül'!$G$16,'Ekim'!$G$16,'Kasım'!$G$16,'Aralık'!$G$16))</f>
        <v/>
      </c>
      <c r="H16" s="22">
        <f>IF($B16="","",IF(D16+E16=0,"",D16/(D16+E16)))</f>
        <v/>
      </c>
    </row>
    <row r="17">
      <c r="A17" s="12">
        <f>IF($B17="","",Personel_Listesi!$A16)</f>
        <v/>
      </c>
      <c r="B17" s="23">
        <f>IF(Personel_Listesi!$B16="","",UPPER(Personel_Listesi!$B16))</f>
        <v/>
      </c>
      <c r="C17" s="12">
        <f>IF($B17="","",Personel_Listesi!$C16&amp;"")</f>
        <v/>
      </c>
      <c r="D17" s="14">
        <f>IF($B17="","",CHOOSE(MATCH($C$3,{"Ocak","Şubat","Mart","Nisan","Mayıs","Haziran","Temmuz","Ağustos","Eylül","Ekim","Kasım","Aralık"},0),'Ocak'!$D$17,'Şubat'!$D$17,'Mart'!$D$17,'Nisan'!$D$17,'Mayıs'!$D$17,'Haziran'!$D$17,'Temmuz'!$D$17,'Ağustos'!$D$17,'Eylül'!$D$17,'Ekim'!$D$17,'Kasım'!$D$17,'Aralık'!$D$17))</f>
        <v/>
      </c>
      <c r="E17" s="14">
        <f>IF($B17="","",CHOOSE(MATCH($C$3,{"Ocak","Şubat","Mart","Nisan","Mayıs","Haziran","Temmuz","Ağustos","Eylül","Ekim","Kasım","Aralık"},0),'Ocak'!$E$17,'Şubat'!$E$17,'Mart'!$E$17,'Nisan'!$E$17,'Mayıs'!$E$17,'Haziran'!$E$17,'Temmuz'!$E$17,'Ağustos'!$E$17,'Eylül'!$E$17,'Ekim'!$E$17,'Kasım'!$E$17,'Aralık'!$E$17))</f>
        <v/>
      </c>
      <c r="F17" s="14">
        <f>IF($B17="","",CHOOSE(MATCH($C$3,{"Ocak","Şubat","Mart","Nisan","Mayıs","Haziran","Temmuz","Ağustos","Eylül","Ekim","Kasım","Aralık"},0),'Ocak'!$F$17,'Şubat'!$F$17,'Mart'!$F$17,'Nisan'!$F$17,'Mayıs'!$F$17,'Haziran'!$F$17,'Temmuz'!$F$17,'Ağustos'!$F$17,'Eylül'!$F$17,'Ekim'!$F$17,'Kasım'!$F$17,'Aralık'!$F$17))</f>
        <v/>
      </c>
      <c r="G17" s="14">
        <f>IF($B17="","",CHOOSE(MATCH($C$3,{"Ocak","Şubat","Mart","Nisan","Mayıs","Haziran","Temmuz","Ağustos","Eylül","Ekim","Kasım","Aralık"},0),'Ocak'!$G$17,'Şubat'!$G$17,'Mart'!$G$17,'Nisan'!$G$17,'Mayıs'!$G$17,'Haziran'!$G$17,'Temmuz'!$G$17,'Ağustos'!$G$17,'Eylül'!$G$17,'Ekim'!$G$17,'Kasım'!$G$17,'Aralık'!$G$17))</f>
        <v/>
      </c>
      <c r="H17" s="24">
        <f>IF($B17="","",IF(D17+E17=0,"",D17/(D17+E17)))</f>
        <v/>
      </c>
    </row>
    <row r="18">
      <c r="A18" s="9">
        <f>IF($B18="","",Personel_Listesi!$A17)</f>
        <v/>
      </c>
      <c r="B18" s="21">
        <f>IF(Personel_Listesi!$B17="","",UPPER(Personel_Listesi!$B17))</f>
        <v/>
      </c>
      <c r="C18" s="9">
        <f>IF($B18="","",Personel_Listesi!$C17&amp;"")</f>
        <v/>
      </c>
      <c r="D18" s="11">
        <f>IF($B18="","",CHOOSE(MATCH($C$3,{"Ocak","Şubat","Mart","Nisan","Mayıs","Haziran","Temmuz","Ağustos","Eylül","Ekim","Kasım","Aralık"},0),'Ocak'!$D$18,'Şubat'!$D$18,'Mart'!$D$18,'Nisan'!$D$18,'Mayıs'!$D$18,'Haziran'!$D$18,'Temmuz'!$D$18,'Ağustos'!$D$18,'Eylül'!$D$18,'Ekim'!$D$18,'Kasım'!$D$18,'Aralık'!$D$18))</f>
        <v/>
      </c>
      <c r="E18" s="11">
        <f>IF($B18="","",CHOOSE(MATCH($C$3,{"Ocak","Şubat","Mart","Nisan","Mayıs","Haziran","Temmuz","Ağustos","Eylül","Ekim","Kasım","Aralık"},0),'Ocak'!$E$18,'Şubat'!$E$18,'Mart'!$E$18,'Nisan'!$E$18,'Mayıs'!$E$18,'Haziran'!$E$18,'Temmuz'!$E$18,'Ağustos'!$E$18,'Eylül'!$E$18,'Ekim'!$E$18,'Kasım'!$E$18,'Aralık'!$E$18))</f>
        <v/>
      </c>
      <c r="F18" s="11">
        <f>IF($B18="","",CHOOSE(MATCH($C$3,{"Ocak","Şubat","Mart","Nisan","Mayıs","Haziran","Temmuz","Ağustos","Eylül","Ekim","Kasım","Aralık"},0),'Ocak'!$F$18,'Şubat'!$F$18,'Mart'!$F$18,'Nisan'!$F$18,'Mayıs'!$F$18,'Haziran'!$F$18,'Temmuz'!$F$18,'Ağustos'!$F$18,'Eylül'!$F$18,'Ekim'!$F$18,'Kasım'!$F$18,'Aralık'!$F$18))</f>
        <v/>
      </c>
      <c r="G18" s="11">
        <f>IF($B18="","",CHOOSE(MATCH($C$3,{"Ocak","Şubat","Mart","Nisan","Mayıs","Haziran","Temmuz","Ağustos","Eylül","Ekim","Kasım","Aralık"},0),'Ocak'!$G$18,'Şubat'!$G$18,'Mart'!$G$18,'Nisan'!$G$18,'Mayıs'!$G$18,'Haziran'!$G$18,'Temmuz'!$G$18,'Ağustos'!$G$18,'Eylül'!$G$18,'Ekim'!$G$18,'Kasım'!$G$18,'Aralık'!$G$18))</f>
        <v/>
      </c>
      <c r="H18" s="22">
        <f>IF($B18="","",IF(D18+E18=0,"",D18/(D18+E18)))</f>
        <v/>
      </c>
    </row>
    <row r="19">
      <c r="A19" s="12">
        <f>IF($B19="","",Personel_Listesi!$A18)</f>
        <v/>
      </c>
      <c r="B19" s="23">
        <f>IF(Personel_Listesi!$B18="","",UPPER(Personel_Listesi!$B18))</f>
        <v/>
      </c>
      <c r="C19" s="12">
        <f>IF($B19="","",Personel_Listesi!$C18&amp;"")</f>
        <v/>
      </c>
      <c r="D19" s="14">
        <f>IF($B19="","",CHOOSE(MATCH($C$3,{"Ocak","Şubat","Mart","Nisan","Mayıs","Haziran","Temmuz","Ağustos","Eylül","Ekim","Kasım","Aralık"},0),'Ocak'!$D$19,'Şubat'!$D$19,'Mart'!$D$19,'Nisan'!$D$19,'Mayıs'!$D$19,'Haziran'!$D$19,'Temmuz'!$D$19,'Ağustos'!$D$19,'Eylül'!$D$19,'Ekim'!$D$19,'Kasım'!$D$19,'Aralık'!$D$19))</f>
        <v/>
      </c>
      <c r="E19" s="14">
        <f>IF($B19="","",CHOOSE(MATCH($C$3,{"Ocak","Şubat","Mart","Nisan","Mayıs","Haziran","Temmuz","Ağustos","Eylül","Ekim","Kasım","Aralık"},0),'Ocak'!$E$19,'Şubat'!$E$19,'Mart'!$E$19,'Nisan'!$E$19,'Mayıs'!$E$19,'Haziran'!$E$19,'Temmuz'!$E$19,'Ağustos'!$E$19,'Eylül'!$E$19,'Ekim'!$E$19,'Kasım'!$E$19,'Aralık'!$E$19))</f>
        <v/>
      </c>
      <c r="F19" s="14">
        <f>IF($B19="","",CHOOSE(MATCH($C$3,{"Ocak","Şubat","Mart","Nisan","Mayıs","Haziran","Temmuz","Ağustos","Eylül","Ekim","Kasım","Aralık"},0),'Ocak'!$F$19,'Şubat'!$F$19,'Mart'!$F$19,'Nisan'!$F$19,'Mayıs'!$F$19,'Haziran'!$F$19,'Temmuz'!$F$19,'Ağustos'!$F$19,'Eylül'!$F$19,'Ekim'!$F$19,'Kasım'!$F$19,'Aralık'!$F$19))</f>
        <v/>
      </c>
      <c r="G19" s="14">
        <f>IF($B19="","",CHOOSE(MATCH($C$3,{"Ocak","Şubat","Mart","Nisan","Mayıs","Haziran","Temmuz","Ağustos","Eylül","Ekim","Kasım","Aralık"},0),'Ocak'!$G$19,'Şubat'!$G$19,'Mart'!$G$19,'Nisan'!$G$19,'Mayıs'!$G$19,'Haziran'!$G$19,'Temmuz'!$G$19,'Ağustos'!$G$19,'Eylül'!$G$19,'Ekim'!$G$19,'Kasım'!$G$19,'Aralık'!$G$19))</f>
        <v/>
      </c>
      <c r="H19" s="24">
        <f>IF($B19="","",IF(D19+E19=0,"",D19/(D19+E19)))</f>
        <v/>
      </c>
    </row>
    <row r="20">
      <c r="A20" s="9">
        <f>IF($B20="","",Personel_Listesi!$A19)</f>
        <v/>
      </c>
      <c r="B20" s="21">
        <f>IF(Personel_Listesi!$B19="","",UPPER(Personel_Listesi!$B19))</f>
        <v/>
      </c>
      <c r="C20" s="9">
        <f>IF($B20="","",Personel_Listesi!$C19&amp;"")</f>
        <v/>
      </c>
      <c r="D20" s="11">
        <f>IF($B20="","",CHOOSE(MATCH($C$3,{"Ocak","Şubat","Mart","Nisan","Mayıs","Haziran","Temmuz","Ağustos","Eylül","Ekim","Kasım","Aralık"},0),'Ocak'!$D$20,'Şubat'!$D$20,'Mart'!$D$20,'Nisan'!$D$20,'Mayıs'!$D$20,'Haziran'!$D$20,'Temmuz'!$D$20,'Ağustos'!$D$20,'Eylül'!$D$20,'Ekim'!$D$20,'Kasım'!$D$20,'Aralık'!$D$20))</f>
        <v/>
      </c>
      <c r="E20" s="11">
        <f>IF($B20="","",CHOOSE(MATCH($C$3,{"Ocak","Şubat","Mart","Nisan","Mayıs","Haziran","Temmuz","Ağustos","Eylül","Ekim","Kasım","Aralık"},0),'Ocak'!$E$20,'Şubat'!$E$20,'Mart'!$E$20,'Nisan'!$E$20,'Mayıs'!$E$20,'Haziran'!$E$20,'Temmuz'!$E$20,'Ağustos'!$E$20,'Eylül'!$E$20,'Ekim'!$E$20,'Kasım'!$E$20,'Aralık'!$E$20))</f>
        <v/>
      </c>
      <c r="F20" s="11">
        <f>IF($B20="","",CHOOSE(MATCH($C$3,{"Ocak","Şubat","Mart","Nisan","Mayıs","Haziran","Temmuz","Ağustos","Eylül","Ekim","Kasım","Aralık"},0),'Ocak'!$F$20,'Şubat'!$F$20,'Mart'!$F$20,'Nisan'!$F$20,'Mayıs'!$F$20,'Haziran'!$F$20,'Temmuz'!$F$20,'Ağustos'!$F$20,'Eylül'!$F$20,'Ekim'!$F$20,'Kasım'!$F$20,'Aralık'!$F$20))</f>
        <v/>
      </c>
      <c r="G20" s="11">
        <f>IF($B20="","",CHOOSE(MATCH($C$3,{"Ocak","Şubat","Mart","Nisan","Mayıs","Haziran","Temmuz","Ağustos","Eylül","Ekim","Kasım","Aralık"},0),'Ocak'!$G$20,'Şubat'!$G$20,'Mart'!$G$20,'Nisan'!$G$20,'Mayıs'!$G$20,'Haziran'!$G$20,'Temmuz'!$G$20,'Ağustos'!$G$20,'Eylül'!$G$20,'Ekim'!$G$20,'Kasım'!$G$20,'Aralık'!$G$20))</f>
        <v/>
      </c>
      <c r="H20" s="22">
        <f>IF($B20="","",IF(D20+E20=0,"",D20/(D20+E20)))</f>
        <v/>
      </c>
    </row>
    <row r="21">
      <c r="A21" s="12">
        <f>IF($B21="","",Personel_Listesi!$A20)</f>
        <v/>
      </c>
      <c r="B21" s="23">
        <f>IF(Personel_Listesi!$B20="","",UPPER(Personel_Listesi!$B20))</f>
        <v/>
      </c>
      <c r="C21" s="12">
        <f>IF($B21="","",Personel_Listesi!$C20&amp;"")</f>
        <v/>
      </c>
      <c r="D21" s="14">
        <f>IF($B21="","",CHOOSE(MATCH($C$3,{"Ocak","Şubat","Mart","Nisan","Mayıs","Haziran","Temmuz","Ağustos","Eylül","Ekim","Kasım","Aralık"},0),'Ocak'!$D$21,'Şubat'!$D$21,'Mart'!$D$21,'Nisan'!$D$21,'Mayıs'!$D$21,'Haziran'!$D$21,'Temmuz'!$D$21,'Ağustos'!$D$21,'Eylül'!$D$21,'Ekim'!$D$21,'Kasım'!$D$21,'Aralık'!$D$21))</f>
        <v/>
      </c>
      <c r="E21" s="14">
        <f>IF($B21="","",CHOOSE(MATCH($C$3,{"Ocak","Şubat","Mart","Nisan","Mayıs","Haziran","Temmuz","Ağustos","Eylül","Ekim","Kasım","Aralık"},0),'Ocak'!$E$21,'Şubat'!$E$21,'Mart'!$E$21,'Nisan'!$E$21,'Mayıs'!$E$21,'Haziran'!$E$21,'Temmuz'!$E$21,'Ağustos'!$E$21,'Eylül'!$E$21,'Ekim'!$E$21,'Kasım'!$E$21,'Aralık'!$E$21))</f>
        <v/>
      </c>
      <c r="F21" s="14">
        <f>IF($B21="","",CHOOSE(MATCH($C$3,{"Ocak","Şubat","Mart","Nisan","Mayıs","Haziran","Temmuz","Ağustos","Eylül","Ekim","Kasım","Aralık"},0),'Ocak'!$F$21,'Şubat'!$F$21,'Mart'!$F$21,'Nisan'!$F$21,'Mayıs'!$F$21,'Haziran'!$F$21,'Temmuz'!$F$21,'Ağustos'!$F$21,'Eylül'!$F$21,'Ekim'!$F$21,'Kasım'!$F$21,'Aralık'!$F$21))</f>
        <v/>
      </c>
      <c r="G21" s="14">
        <f>IF($B21="","",CHOOSE(MATCH($C$3,{"Ocak","Şubat","Mart","Nisan","Mayıs","Haziran","Temmuz","Ağustos","Eylül","Ekim","Kasım","Aralık"},0),'Ocak'!$G$21,'Şubat'!$G$21,'Mart'!$G$21,'Nisan'!$G$21,'Mayıs'!$G$21,'Haziran'!$G$21,'Temmuz'!$G$21,'Ağustos'!$G$21,'Eylül'!$G$21,'Ekim'!$G$21,'Kasım'!$G$21,'Aralık'!$G$21))</f>
        <v/>
      </c>
      <c r="H21" s="24">
        <f>IF($B21="","",IF(D21+E21=0,"",D21/(D21+E21)))</f>
        <v/>
      </c>
    </row>
    <row r="22">
      <c r="A22" s="9">
        <f>IF($B22="","",Personel_Listesi!$A21)</f>
        <v/>
      </c>
      <c r="B22" s="21">
        <f>IF(Personel_Listesi!$B21="","",UPPER(Personel_Listesi!$B21))</f>
        <v/>
      </c>
      <c r="C22" s="9">
        <f>IF($B22="","",Personel_Listesi!$C21&amp;"")</f>
        <v/>
      </c>
      <c r="D22" s="11">
        <f>IF($B22="","",CHOOSE(MATCH($C$3,{"Ocak","Şubat","Mart","Nisan","Mayıs","Haziran","Temmuz","Ağustos","Eylül","Ekim","Kasım","Aralık"},0),'Ocak'!$D$22,'Şubat'!$D$22,'Mart'!$D$22,'Nisan'!$D$22,'Mayıs'!$D$22,'Haziran'!$D$22,'Temmuz'!$D$22,'Ağustos'!$D$22,'Eylül'!$D$22,'Ekim'!$D$22,'Kasım'!$D$22,'Aralık'!$D$22))</f>
        <v/>
      </c>
      <c r="E22" s="11">
        <f>IF($B22="","",CHOOSE(MATCH($C$3,{"Ocak","Şubat","Mart","Nisan","Mayıs","Haziran","Temmuz","Ağustos","Eylül","Ekim","Kasım","Aralık"},0),'Ocak'!$E$22,'Şubat'!$E$22,'Mart'!$E$22,'Nisan'!$E$22,'Mayıs'!$E$22,'Haziran'!$E$22,'Temmuz'!$E$22,'Ağustos'!$E$22,'Eylül'!$E$22,'Ekim'!$E$22,'Kasım'!$E$22,'Aralık'!$E$22))</f>
        <v/>
      </c>
      <c r="F22" s="11">
        <f>IF($B22="","",CHOOSE(MATCH($C$3,{"Ocak","Şubat","Mart","Nisan","Mayıs","Haziran","Temmuz","Ağustos","Eylül","Ekim","Kasım","Aralık"},0),'Ocak'!$F$22,'Şubat'!$F$22,'Mart'!$F$22,'Nisan'!$F$22,'Mayıs'!$F$22,'Haziran'!$F$22,'Temmuz'!$F$22,'Ağustos'!$F$22,'Eylül'!$F$22,'Ekim'!$F$22,'Kasım'!$F$22,'Aralık'!$F$22))</f>
        <v/>
      </c>
      <c r="G22" s="11">
        <f>IF($B22="","",CHOOSE(MATCH($C$3,{"Ocak","Şubat","Mart","Nisan","Mayıs","Haziran","Temmuz","Ağustos","Eylül","Ekim","Kasım","Aralık"},0),'Ocak'!$G$22,'Şubat'!$G$22,'Mart'!$G$22,'Nisan'!$G$22,'Mayıs'!$G$22,'Haziran'!$G$22,'Temmuz'!$G$22,'Ağustos'!$G$22,'Eylül'!$G$22,'Ekim'!$G$22,'Kasım'!$G$22,'Aralık'!$G$22))</f>
        <v/>
      </c>
      <c r="H22" s="22">
        <f>IF($B22="","",IF(D22+E22=0,"",D22/(D22+E22)))</f>
        <v/>
      </c>
    </row>
    <row r="23">
      <c r="A23" s="12">
        <f>IF($B23="","",Personel_Listesi!$A22)</f>
        <v/>
      </c>
      <c r="B23" s="23">
        <f>IF(Personel_Listesi!$B22="","",UPPER(Personel_Listesi!$B22))</f>
        <v/>
      </c>
      <c r="C23" s="12">
        <f>IF($B23="","",Personel_Listesi!$C22&amp;"")</f>
        <v/>
      </c>
      <c r="D23" s="14">
        <f>IF($B23="","",CHOOSE(MATCH($C$3,{"Ocak","Şubat","Mart","Nisan","Mayıs","Haziran","Temmuz","Ağustos","Eylül","Ekim","Kasım","Aralık"},0),'Ocak'!$D$23,'Şubat'!$D$23,'Mart'!$D$23,'Nisan'!$D$23,'Mayıs'!$D$23,'Haziran'!$D$23,'Temmuz'!$D$23,'Ağustos'!$D$23,'Eylül'!$D$23,'Ekim'!$D$23,'Kasım'!$D$23,'Aralık'!$D$23))</f>
        <v/>
      </c>
      <c r="E23" s="14">
        <f>IF($B23="","",CHOOSE(MATCH($C$3,{"Ocak","Şubat","Mart","Nisan","Mayıs","Haziran","Temmuz","Ağustos","Eylül","Ekim","Kasım","Aralık"},0),'Ocak'!$E$23,'Şubat'!$E$23,'Mart'!$E$23,'Nisan'!$E$23,'Mayıs'!$E$23,'Haziran'!$E$23,'Temmuz'!$E$23,'Ağustos'!$E$23,'Eylül'!$E$23,'Ekim'!$E$23,'Kasım'!$E$23,'Aralık'!$E$23))</f>
        <v/>
      </c>
      <c r="F23" s="14">
        <f>IF($B23="","",CHOOSE(MATCH($C$3,{"Ocak","Şubat","Mart","Nisan","Mayıs","Haziran","Temmuz","Ağustos","Eylül","Ekim","Kasım","Aralık"},0),'Ocak'!$F$23,'Şubat'!$F$23,'Mart'!$F$23,'Nisan'!$F$23,'Mayıs'!$F$23,'Haziran'!$F$23,'Temmuz'!$F$23,'Ağustos'!$F$23,'Eylül'!$F$23,'Ekim'!$F$23,'Kasım'!$F$23,'Aralık'!$F$23))</f>
        <v/>
      </c>
      <c r="G23" s="14">
        <f>IF($B23="","",CHOOSE(MATCH($C$3,{"Ocak","Şubat","Mart","Nisan","Mayıs","Haziran","Temmuz","Ağustos","Eylül","Ekim","Kasım","Aralık"},0),'Ocak'!$G$23,'Şubat'!$G$23,'Mart'!$G$23,'Nisan'!$G$23,'Mayıs'!$G$23,'Haziran'!$G$23,'Temmuz'!$G$23,'Ağustos'!$G$23,'Eylül'!$G$23,'Ekim'!$G$23,'Kasım'!$G$23,'Aralık'!$G$23))</f>
        <v/>
      </c>
      <c r="H23" s="24">
        <f>IF($B23="","",IF(D23+E23=0,"",D23/(D23+E23)))</f>
        <v/>
      </c>
    </row>
    <row r="24">
      <c r="A24" s="9">
        <f>IF($B24="","",Personel_Listesi!$A23)</f>
        <v/>
      </c>
      <c r="B24" s="21">
        <f>IF(Personel_Listesi!$B23="","",UPPER(Personel_Listesi!$B23))</f>
        <v/>
      </c>
      <c r="C24" s="9">
        <f>IF($B24="","",Personel_Listesi!$C23&amp;"")</f>
        <v/>
      </c>
      <c r="D24" s="11">
        <f>IF($B24="","",CHOOSE(MATCH($C$3,{"Ocak","Şubat","Mart","Nisan","Mayıs","Haziran","Temmuz","Ağustos","Eylül","Ekim","Kasım","Aralık"},0),'Ocak'!$D$24,'Şubat'!$D$24,'Mart'!$D$24,'Nisan'!$D$24,'Mayıs'!$D$24,'Haziran'!$D$24,'Temmuz'!$D$24,'Ağustos'!$D$24,'Eylül'!$D$24,'Ekim'!$D$24,'Kasım'!$D$24,'Aralık'!$D$24))</f>
        <v/>
      </c>
      <c r="E24" s="11">
        <f>IF($B24="","",CHOOSE(MATCH($C$3,{"Ocak","Şubat","Mart","Nisan","Mayıs","Haziran","Temmuz","Ağustos","Eylül","Ekim","Kasım","Aralık"},0),'Ocak'!$E$24,'Şubat'!$E$24,'Mart'!$E$24,'Nisan'!$E$24,'Mayıs'!$E$24,'Haziran'!$E$24,'Temmuz'!$E$24,'Ağustos'!$E$24,'Eylül'!$E$24,'Ekim'!$E$24,'Kasım'!$E$24,'Aralık'!$E$24))</f>
        <v/>
      </c>
      <c r="F24" s="11">
        <f>IF($B24="","",CHOOSE(MATCH($C$3,{"Ocak","Şubat","Mart","Nisan","Mayıs","Haziran","Temmuz","Ağustos","Eylül","Ekim","Kasım","Aralık"},0),'Ocak'!$F$24,'Şubat'!$F$24,'Mart'!$F$24,'Nisan'!$F$24,'Mayıs'!$F$24,'Haziran'!$F$24,'Temmuz'!$F$24,'Ağustos'!$F$24,'Eylül'!$F$24,'Ekim'!$F$24,'Kasım'!$F$24,'Aralık'!$F$24))</f>
        <v/>
      </c>
      <c r="G24" s="11">
        <f>IF($B24="","",CHOOSE(MATCH($C$3,{"Ocak","Şubat","Mart","Nisan","Mayıs","Haziran","Temmuz","Ağustos","Eylül","Ekim","Kasım","Aralık"},0),'Ocak'!$G$24,'Şubat'!$G$24,'Mart'!$G$24,'Nisan'!$G$24,'Mayıs'!$G$24,'Haziran'!$G$24,'Temmuz'!$G$24,'Ağustos'!$G$24,'Eylül'!$G$24,'Ekim'!$G$24,'Kasım'!$G$24,'Aralık'!$G$24))</f>
        <v/>
      </c>
      <c r="H24" s="22">
        <f>IF($B24="","",IF(D24+E24=0,"",D24/(D24+E24)))</f>
        <v/>
      </c>
    </row>
    <row r="25">
      <c r="A25" s="12">
        <f>IF($B25="","",Personel_Listesi!$A24)</f>
        <v/>
      </c>
      <c r="B25" s="23">
        <f>IF(Personel_Listesi!$B24="","",UPPER(Personel_Listesi!$B24))</f>
        <v/>
      </c>
      <c r="C25" s="12">
        <f>IF($B25="","",Personel_Listesi!$C24&amp;"")</f>
        <v/>
      </c>
      <c r="D25" s="14">
        <f>IF($B25="","",CHOOSE(MATCH($C$3,{"Ocak","Şubat","Mart","Nisan","Mayıs","Haziran","Temmuz","Ağustos","Eylül","Ekim","Kasım","Aralık"},0),'Ocak'!$D$25,'Şubat'!$D$25,'Mart'!$D$25,'Nisan'!$D$25,'Mayıs'!$D$25,'Haziran'!$D$25,'Temmuz'!$D$25,'Ağustos'!$D$25,'Eylül'!$D$25,'Ekim'!$D$25,'Kasım'!$D$25,'Aralık'!$D$25))</f>
        <v/>
      </c>
      <c r="E25" s="14">
        <f>IF($B25="","",CHOOSE(MATCH($C$3,{"Ocak","Şubat","Mart","Nisan","Mayıs","Haziran","Temmuz","Ağustos","Eylül","Ekim","Kasım","Aralık"},0),'Ocak'!$E$25,'Şubat'!$E$25,'Mart'!$E$25,'Nisan'!$E$25,'Mayıs'!$E$25,'Haziran'!$E$25,'Temmuz'!$E$25,'Ağustos'!$E$25,'Eylül'!$E$25,'Ekim'!$E$25,'Kasım'!$E$25,'Aralık'!$E$25))</f>
        <v/>
      </c>
      <c r="F25" s="14">
        <f>IF($B25="","",CHOOSE(MATCH($C$3,{"Ocak","Şubat","Mart","Nisan","Mayıs","Haziran","Temmuz","Ağustos","Eylül","Ekim","Kasım","Aralık"},0),'Ocak'!$F$25,'Şubat'!$F$25,'Mart'!$F$25,'Nisan'!$F$25,'Mayıs'!$F$25,'Haziran'!$F$25,'Temmuz'!$F$25,'Ağustos'!$F$25,'Eylül'!$F$25,'Ekim'!$F$25,'Kasım'!$F$25,'Aralık'!$F$25))</f>
        <v/>
      </c>
      <c r="G25" s="14">
        <f>IF($B25="","",CHOOSE(MATCH($C$3,{"Ocak","Şubat","Mart","Nisan","Mayıs","Haziran","Temmuz","Ağustos","Eylül","Ekim","Kasım","Aralık"},0),'Ocak'!$G$25,'Şubat'!$G$25,'Mart'!$G$25,'Nisan'!$G$25,'Mayıs'!$G$25,'Haziran'!$G$25,'Temmuz'!$G$25,'Ağustos'!$G$25,'Eylül'!$G$25,'Ekim'!$G$25,'Kasım'!$G$25,'Aralık'!$G$25))</f>
        <v/>
      </c>
      <c r="H25" s="24">
        <f>IF($B25="","",IF(D25+E25=0,"",D25/(D25+E25)))</f>
        <v/>
      </c>
    </row>
    <row r="26">
      <c r="A26" s="9">
        <f>IF($B26="","",Personel_Listesi!$A25)</f>
        <v/>
      </c>
      <c r="B26" s="21">
        <f>IF(Personel_Listesi!$B25="","",UPPER(Personel_Listesi!$B25))</f>
        <v/>
      </c>
      <c r="C26" s="9">
        <f>IF($B26="","",Personel_Listesi!$C25&amp;"")</f>
        <v/>
      </c>
      <c r="D26" s="11">
        <f>IF($B26="","",CHOOSE(MATCH($C$3,{"Ocak","Şubat","Mart","Nisan","Mayıs","Haziran","Temmuz","Ağustos","Eylül","Ekim","Kasım","Aralık"},0),'Ocak'!$D$26,'Şubat'!$D$26,'Mart'!$D$26,'Nisan'!$D$26,'Mayıs'!$D$26,'Haziran'!$D$26,'Temmuz'!$D$26,'Ağustos'!$D$26,'Eylül'!$D$26,'Ekim'!$D$26,'Kasım'!$D$26,'Aralık'!$D$26))</f>
        <v/>
      </c>
      <c r="E26" s="11">
        <f>IF($B26="","",CHOOSE(MATCH($C$3,{"Ocak","Şubat","Mart","Nisan","Mayıs","Haziran","Temmuz","Ağustos","Eylül","Ekim","Kasım","Aralık"},0),'Ocak'!$E$26,'Şubat'!$E$26,'Mart'!$E$26,'Nisan'!$E$26,'Mayıs'!$E$26,'Haziran'!$E$26,'Temmuz'!$E$26,'Ağustos'!$E$26,'Eylül'!$E$26,'Ekim'!$E$26,'Kasım'!$E$26,'Aralık'!$E$26))</f>
        <v/>
      </c>
      <c r="F26" s="11">
        <f>IF($B26="","",CHOOSE(MATCH($C$3,{"Ocak","Şubat","Mart","Nisan","Mayıs","Haziran","Temmuz","Ağustos","Eylül","Ekim","Kasım","Aralık"},0),'Ocak'!$F$26,'Şubat'!$F$26,'Mart'!$F$26,'Nisan'!$F$26,'Mayıs'!$F$26,'Haziran'!$F$26,'Temmuz'!$F$26,'Ağustos'!$F$26,'Eylül'!$F$26,'Ekim'!$F$26,'Kasım'!$F$26,'Aralık'!$F$26))</f>
        <v/>
      </c>
      <c r="G26" s="11">
        <f>IF($B26="","",CHOOSE(MATCH($C$3,{"Ocak","Şubat","Mart","Nisan","Mayıs","Haziran","Temmuz","Ağustos","Eylül","Ekim","Kasım","Aralık"},0),'Ocak'!$G$26,'Şubat'!$G$26,'Mart'!$G$26,'Nisan'!$G$26,'Mayıs'!$G$26,'Haziran'!$G$26,'Temmuz'!$G$26,'Ağustos'!$G$26,'Eylül'!$G$26,'Ekim'!$G$26,'Kasım'!$G$26,'Aralık'!$G$26))</f>
        <v/>
      </c>
      <c r="H26" s="22">
        <f>IF($B26="","",IF(D26+E26=0,"",D26/(D26+E26)))</f>
        <v/>
      </c>
    </row>
    <row r="27">
      <c r="A27" s="12">
        <f>IF($B27="","",Personel_Listesi!$A26)</f>
        <v/>
      </c>
      <c r="B27" s="23">
        <f>IF(Personel_Listesi!$B26="","",UPPER(Personel_Listesi!$B26))</f>
        <v/>
      </c>
      <c r="C27" s="12">
        <f>IF($B27="","",Personel_Listesi!$C26&amp;"")</f>
        <v/>
      </c>
      <c r="D27" s="14">
        <f>IF($B27="","",CHOOSE(MATCH($C$3,{"Ocak","Şubat","Mart","Nisan","Mayıs","Haziran","Temmuz","Ağustos","Eylül","Ekim","Kasım","Aralık"},0),'Ocak'!$D$27,'Şubat'!$D$27,'Mart'!$D$27,'Nisan'!$D$27,'Mayıs'!$D$27,'Haziran'!$D$27,'Temmuz'!$D$27,'Ağustos'!$D$27,'Eylül'!$D$27,'Ekim'!$D$27,'Kasım'!$D$27,'Aralık'!$D$27))</f>
        <v/>
      </c>
      <c r="E27" s="14">
        <f>IF($B27="","",CHOOSE(MATCH($C$3,{"Ocak","Şubat","Mart","Nisan","Mayıs","Haziran","Temmuz","Ağustos","Eylül","Ekim","Kasım","Aralık"},0),'Ocak'!$E$27,'Şubat'!$E$27,'Mart'!$E$27,'Nisan'!$E$27,'Mayıs'!$E$27,'Haziran'!$E$27,'Temmuz'!$E$27,'Ağustos'!$E$27,'Eylül'!$E$27,'Ekim'!$E$27,'Kasım'!$E$27,'Aralık'!$E$27))</f>
        <v/>
      </c>
      <c r="F27" s="14">
        <f>IF($B27="","",CHOOSE(MATCH($C$3,{"Ocak","Şubat","Mart","Nisan","Mayıs","Haziran","Temmuz","Ağustos","Eylül","Ekim","Kasım","Aralık"},0),'Ocak'!$F$27,'Şubat'!$F$27,'Mart'!$F$27,'Nisan'!$F$27,'Mayıs'!$F$27,'Haziran'!$F$27,'Temmuz'!$F$27,'Ağustos'!$F$27,'Eylül'!$F$27,'Ekim'!$F$27,'Kasım'!$F$27,'Aralık'!$F$27))</f>
        <v/>
      </c>
      <c r="G27" s="14">
        <f>IF($B27="","",CHOOSE(MATCH($C$3,{"Ocak","Şubat","Mart","Nisan","Mayıs","Haziran","Temmuz","Ağustos","Eylül","Ekim","Kasım","Aralık"},0),'Ocak'!$G$27,'Şubat'!$G$27,'Mart'!$G$27,'Nisan'!$G$27,'Mayıs'!$G$27,'Haziran'!$G$27,'Temmuz'!$G$27,'Ağustos'!$G$27,'Eylül'!$G$27,'Ekim'!$G$27,'Kasım'!$G$27,'Aralık'!$G$27))</f>
        <v/>
      </c>
      <c r="H27" s="24">
        <f>IF($B27="","",IF(D27+E27=0,"",D27/(D27+E27)))</f>
        <v/>
      </c>
    </row>
    <row r="28">
      <c r="A28" s="9">
        <f>IF($B28="","",Personel_Listesi!$A27)</f>
        <v/>
      </c>
      <c r="B28" s="21">
        <f>IF(Personel_Listesi!$B27="","",UPPER(Personel_Listesi!$B27))</f>
        <v/>
      </c>
      <c r="C28" s="9">
        <f>IF($B28="","",Personel_Listesi!$C27&amp;"")</f>
        <v/>
      </c>
      <c r="D28" s="11">
        <f>IF($B28="","",CHOOSE(MATCH($C$3,{"Ocak","Şubat","Mart","Nisan","Mayıs","Haziran","Temmuz","Ağustos","Eylül","Ekim","Kasım","Aralık"},0),'Ocak'!$D$28,'Şubat'!$D$28,'Mart'!$D$28,'Nisan'!$D$28,'Mayıs'!$D$28,'Haziran'!$D$28,'Temmuz'!$D$28,'Ağustos'!$D$28,'Eylül'!$D$28,'Ekim'!$D$28,'Kasım'!$D$28,'Aralık'!$D$28))</f>
        <v/>
      </c>
      <c r="E28" s="11">
        <f>IF($B28="","",CHOOSE(MATCH($C$3,{"Ocak","Şubat","Mart","Nisan","Mayıs","Haziran","Temmuz","Ağustos","Eylül","Ekim","Kasım","Aralık"},0),'Ocak'!$E$28,'Şubat'!$E$28,'Mart'!$E$28,'Nisan'!$E$28,'Mayıs'!$E$28,'Haziran'!$E$28,'Temmuz'!$E$28,'Ağustos'!$E$28,'Eylül'!$E$28,'Ekim'!$E$28,'Kasım'!$E$28,'Aralık'!$E$28))</f>
        <v/>
      </c>
      <c r="F28" s="11">
        <f>IF($B28="","",CHOOSE(MATCH($C$3,{"Ocak","Şubat","Mart","Nisan","Mayıs","Haziran","Temmuz","Ağustos","Eylül","Ekim","Kasım","Aralık"},0),'Ocak'!$F$28,'Şubat'!$F$28,'Mart'!$F$28,'Nisan'!$F$28,'Mayıs'!$F$28,'Haziran'!$F$28,'Temmuz'!$F$28,'Ağustos'!$F$28,'Eylül'!$F$28,'Ekim'!$F$28,'Kasım'!$F$28,'Aralık'!$F$28))</f>
        <v/>
      </c>
      <c r="G28" s="11">
        <f>IF($B28="","",CHOOSE(MATCH($C$3,{"Ocak","Şubat","Mart","Nisan","Mayıs","Haziran","Temmuz","Ağustos","Eylül","Ekim","Kasım","Aralık"},0),'Ocak'!$G$28,'Şubat'!$G$28,'Mart'!$G$28,'Nisan'!$G$28,'Mayıs'!$G$28,'Haziran'!$G$28,'Temmuz'!$G$28,'Ağustos'!$G$28,'Eylül'!$G$28,'Ekim'!$G$28,'Kasım'!$G$28,'Aralık'!$G$28))</f>
        <v/>
      </c>
      <c r="H28" s="22">
        <f>IF($B28="","",IF(D28+E28=0,"",D28/(D28+E28)))</f>
        <v/>
      </c>
    </row>
    <row r="29">
      <c r="A29" s="12">
        <f>IF($B29="","",Personel_Listesi!$A28)</f>
        <v/>
      </c>
      <c r="B29" s="23">
        <f>IF(Personel_Listesi!$B28="","",UPPER(Personel_Listesi!$B28))</f>
        <v/>
      </c>
      <c r="C29" s="12">
        <f>IF($B29="","",Personel_Listesi!$C28&amp;"")</f>
        <v/>
      </c>
      <c r="D29" s="14">
        <f>IF($B29="","",CHOOSE(MATCH($C$3,{"Ocak","Şubat","Mart","Nisan","Mayıs","Haziran","Temmuz","Ağustos","Eylül","Ekim","Kasım","Aralık"},0),'Ocak'!$D$29,'Şubat'!$D$29,'Mart'!$D$29,'Nisan'!$D$29,'Mayıs'!$D$29,'Haziran'!$D$29,'Temmuz'!$D$29,'Ağustos'!$D$29,'Eylül'!$D$29,'Ekim'!$D$29,'Kasım'!$D$29,'Aralık'!$D$29))</f>
        <v/>
      </c>
      <c r="E29" s="14">
        <f>IF($B29="","",CHOOSE(MATCH($C$3,{"Ocak","Şubat","Mart","Nisan","Mayıs","Haziran","Temmuz","Ağustos","Eylül","Ekim","Kasım","Aralık"},0),'Ocak'!$E$29,'Şubat'!$E$29,'Mart'!$E$29,'Nisan'!$E$29,'Mayıs'!$E$29,'Haziran'!$E$29,'Temmuz'!$E$29,'Ağustos'!$E$29,'Eylül'!$E$29,'Ekim'!$E$29,'Kasım'!$E$29,'Aralık'!$E$29))</f>
        <v/>
      </c>
      <c r="F29" s="14">
        <f>IF($B29="","",CHOOSE(MATCH($C$3,{"Ocak","Şubat","Mart","Nisan","Mayıs","Haziran","Temmuz","Ağustos","Eylül","Ekim","Kasım","Aralık"},0),'Ocak'!$F$29,'Şubat'!$F$29,'Mart'!$F$29,'Nisan'!$F$29,'Mayıs'!$F$29,'Haziran'!$F$29,'Temmuz'!$F$29,'Ağustos'!$F$29,'Eylül'!$F$29,'Ekim'!$F$29,'Kasım'!$F$29,'Aralık'!$F$29))</f>
        <v/>
      </c>
      <c r="G29" s="14">
        <f>IF($B29="","",CHOOSE(MATCH($C$3,{"Ocak","Şubat","Mart","Nisan","Mayıs","Haziran","Temmuz","Ağustos","Eylül","Ekim","Kasım","Aralık"},0),'Ocak'!$G$29,'Şubat'!$G$29,'Mart'!$G$29,'Nisan'!$G$29,'Mayıs'!$G$29,'Haziran'!$G$29,'Temmuz'!$G$29,'Ağustos'!$G$29,'Eylül'!$G$29,'Ekim'!$G$29,'Kasım'!$G$29,'Aralık'!$G$29))</f>
        <v/>
      </c>
      <c r="H29" s="24">
        <f>IF($B29="","",IF(D29+E29=0,"",D29/(D29+E29)))</f>
        <v/>
      </c>
    </row>
    <row r="30">
      <c r="A30" s="9">
        <f>IF($B30="","",Personel_Listesi!$A29)</f>
        <v/>
      </c>
      <c r="B30" s="21">
        <f>IF(Personel_Listesi!$B29="","",UPPER(Personel_Listesi!$B29))</f>
        <v/>
      </c>
      <c r="C30" s="9">
        <f>IF($B30="","",Personel_Listesi!$C29&amp;"")</f>
        <v/>
      </c>
      <c r="D30" s="11">
        <f>IF($B30="","",CHOOSE(MATCH($C$3,{"Ocak","Şubat","Mart","Nisan","Mayıs","Haziran","Temmuz","Ağustos","Eylül","Ekim","Kasım","Aralık"},0),'Ocak'!$D$30,'Şubat'!$D$30,'Mart'!$D$30,'Nisan'!$D$30,'Mayıs'!$D$30,'Haziran'!$D$30,'Temmuz'!$D$30,'Ağustos'!$D$30,'Eylül'!$D$30,'Ekim'!$D$30,'Kasım'!$D$30,'Aralık'!$D$30))</f>
        <v/>
      </c>
      <c r="E30" s="11">
        <f>IF($B30="","",CHOOSE(MATCH($C$3,{"Ocak","Şubat","Mart","Nisan","Mayıs","Haziran","Temmuz","Ağustos","Eylül","Ekim","Kasım","Aralık"},0),'Ocak'!$E$30,'Şubat'!$E$30,'Mart'!$E$30,'Nisan'!$E$30,'Mayıs'!$E$30,'Haziran'!$E$30,'Temmuz'!$E$30,'Ağustos'!$E$30,'Eylül'!$E$30,'Ekim'!$E$30,'Kasım'!$E$30,'Aralık'!$E$30))</f>
        <v/>
      </c>
      <c r="F30" s="11">
        <f>IF($B30="","",CHOOSE(MATCH($C$3,{"Ocak","Şubat","Mart","Nisan","Mayıs","Haziran","Temmuz","Ağustos","Eylül","Ekim","Kasım","Aralık"},0),'Ocak'!$F$30,'Şubat'!$F$30,'Mart'!$F$30,'Nisan'!$F$30,'Mayıs'!$F$30,'Haziran'!$F$30,'Temmuz'!$F$30,'Ağustos'!$F$30,'Eylül'!$F$30,'Ekim'!$F$30,'Kasım'!$F$30,'Aralık'!$F$30))</f>
        <v/>
      </c>
      <c r="G30" s="11">
        <f>IF($B30="","",CHOOSE(MATCH($C$3,{"Ocak","Şubat","Mart","Nisan","Mayıs","Haziran","Temmuz","Ağustos","Eylül","Ekim","Kasım","Aralık"},0),'Ocak'!$G$30,'Şubat'!$G$30,'Mart'!$G$30,'Nisan'!$G$30,'Mayıs'!$G$30,'Haziran'!$G$30,'Temmuz'!$G$30,'Ağustos'!$G$30,'Eylül'!$G$30,'Ekim'!$G$30,'Kasım'!$G$30,'Aralık'!$G$30))</f>
        <v/>
      </c>
      <c r="H30" s="22">
        <f>IF($B30="","",IF(D30+E30=0,"",D30/(D30+E30)))</f>
        <v/>
      </c>
    </row>
    <row r="31" ht="24" customHeight="1">
      <c r="A31" s="18" t="inlineStr">
        <is>
          <t>AY TOPLAMI</t>
        </is>
      </c>
      <c r="B31" s="18" t="n"/>
      <c r="C31" s="18" t="n"/>
      <c r="D31" s="25">
        <f>SUM(D6:D30)</f>
        <v/>
      </c>
      <c r="E31" s="25">
        <f>SUM(E6:E30)</f>
        <v/>
      </c>
      <c r="F31" s="25">
        <f>SUM(F6:F30)</f>
        <v/>
      </c>
      <c r="G31" s="25">
        <f>SUM(G6:G30)</f>
        <v/>
      </c>
      <c r="H31" s="26">
        <f>IF(D31+E31=0,"",D31/(D31+E31))</f>
        <v/>
      </c>
    </row>
    <row r="34" ht="24" customHeight="1">
      <c r="A34" s="8" t="inlineStr">
        <is>
          <t>AYLARA GÖRE KARŞILAŞTIRMA (TÜM PERSONEL)</t>
        </is>
      </c>
      <c r="B34" s="8" t="n"/>
      <c r="C34" s="8" t="n"/>
      <c r="D34" s="8" t="n"/>
      <c r="E34" s="8" t="n"/>
      <c r="F34" s="8" t="n"/>
      <c r="G34" s="8" t="n"/>
      <c r="H34" s="8" t="n"/>
    </row>
    <row r="35" ht="30" customHeight="1">
      <c r="A35" s="18" t="inlineStr">
        <is>
          <t>Ay</t>
        </is>
      </c>
      <c r="B35" s="27" t="n"/>
      <c r="C35" s="18" t="inlineStr">
        <is>
          <t>Takvim Günü</t>
        </is>
      </c>
      <c r="D35" s="18" t="inlineStr">
        <is>
          <t>Çalışılan Gün</t>
        </is>
      </c>
      <c r="E35" s="18" t="inlineStr">
        <is>
          <t>Devamsız Gün</t>
        </is>
      </c>
      <c r="F35" s="18" t="inlineStr">
        <is>
          <t>İzin / Rapor</t>
        </is>
      </c>
      <c r="G35" s="18" t="inlineStr">
        <is>
          <t>Mesai (Saat)</t>
        </is>
      </c>
      <c r="H35" s="18" t="inlineStr">
        <is>
          <t>Yemek Sayısı</t>
        </is>
      </c>
    </row>
    <row r="36">
      <c r="A36" s="28" t="inlineStr">
        <is>
          <t>Ocak</t>
        </is>
      </c>
      <c r="B36" s="28" t="n"/>
      <c r="C36" s="9" t="n">
        <v>31</v>
      </c>
      <c r="D36" s="11">
        <f>SUM('Ocak'!D6:D30)</f>
        <v/>
      </c>
      <c r="E36" s="11">
        <f>SUM('Ocak'!E6:E30)</f>
        <v/>
      </c>
      <c r="F36" s="11">
        <f>SUM('Ocak'!F6:F30)</f>
        <v/>
      </c>
      <c r="G36" s="11">
        <f>SUM('Ocak'!G6:G30)</f>
        <v/>
      </c>
      <c r="H36" s="29">
        <f>SUM('Ocak'!H31:BQ31)</f>
        <v/>
      </c>
    </row>
    <row r="37">
      <c r="A37" s="30" t="inlineStr">
        <is>
          <t>Şubat</t>
        </is>
      </c>
      <c r="B37" s="30" t="n"/>
      <c r="C37" s="12" t="n">
        <v>28</v>
      </c>
      <c r="D37" s="14">
        <f>SUM('Şubat'!D6:D30)</f>
        <v/>
      </c>
      <c r="E37" s="14">
        <f>SUM('Şubat'!E6:E30)</f>
        <v/>
      </c>
      <c r="F37" s="14">
        <f>SUM('Şubat'!F6:F30)</f>
        <v/>
      </c>
      <c r="G37" s="14">
        <f>SUM('Şubat'!G6:G30)</f>
        <v/>
      </c>
      <c r="H37" s="31">
        <f>SUM('Şubat'!H31:BK31)</f>
        <v/>
      </c>
    </row>
    <row r="38">
      <c r="A38" s="28" t="inlineStr">
        <is>
          <t>Mart</t>
        </is>
      </c>
      <c r="B38" s="28" t="n"/>
      <c r="C38" s="9" t="n">
        <v>31</v>
      </c>
      <c r="D38" s="11">
        <f>SUM('Mart'!D6:D30)</f>
        <v/>
      </c>
      <c r="E38" s="11">
        <f>SUM('Mart'!E6:E30)</f>
        <v/>
      </c>
      <c r="F38" s="11">
        <f>SUM('Mart'!F6:F30)</f>
        <v/>
      </c>
      <c r="G38" s="11">
        <f>SUM('Mart'!G6:G30)</f>
        <v/>
      </c>
      <c r="H38" s="29">
        <f>SUM('Mart'!H31:BQ31)</f>
        <v/>
      </c>
    </row>
    <row r="39">
      <c r="A39" s="30" t="inlineStr">
        <is>
          <t>Nisan</t>
        </is>
      </c>
      <c r="B39" s="30" t="n"/>
      <c r="C39" s="12" t="n">
        <v>30</v>
      </c>
      <c r="D39" s="14">
        <f>SUM('Nisan'!D6:D30)</f>
        <v/>
      </c>
      <c r="E39" s="14">
        <f>SUM('Nisan'!E6:E30)</f>
        <v/>
      </c>
      <c r="F39" s="14">
        <f>SUM('Nisan'!F6:F30)</f>
        <v/>
      </c>
      <c r="G39" s="14">
        <f>SUM('Nisan'!G6:G30)</f>
        <v/>
      </c>
      <c r="H39" s="31">
        <f>SUM('Nisan'!H31:BO31)</f>
        <v/>
      </c>
    </row>
    <row r="40">
      <c r="A40" s="28" t="inlineStr">
        <is>
          <t>Mayıs</t>
        </is>
      </c>
      <c r="B40" s="28" t="n"/>
      <c r="C40" s="9" t="n">
        <v>31</v>
      </c>
      <c r="D40" s="11">
        <f>SUM('Mayıs'!D6:D30)</f>
        <v/>
      </c>
      <c r="E40" s="11">
        <f>SUM('Mayıs'!E6:E30)</f>
        <v/>
      </c>
      <c r="F40" s="11">
        <f>SUM('Mayıs'!F6:F30)</f>
        <v/>
      </c>
      <c r="G40" s="11">
        <f>SUM('Mayıs'!G6:G30)</f>
        <v/>
      </c>
      <c r="H40" s="29">
        <f>SUM('Mayıs'!H31:BQ31)</f>
        <v/>
      </c>
    </row>
    <row r="41">
      <c r="A41" s="30" t="inlineStr">
        <is>
          <t>Haziran</t>
        </is>
      </c>
      <c r="B41" s="30" t="n"/>
      <c r="C41" s="12" t="n">
        <v>30</v>
      </c>
      <c r="D41" s="14">
        <f>SUM('Haziran'!D6:D30)</f>
        <v/>
      </c>
      <c r="E41" s="14">
        <f>SUM('Haziran'!E6:E30)</f>
        <v/>
      </c>
      <c r="F41" s="14">
        <f>SUM('Haziran'!F6:F30)</f>
        <v/>
      </c>
      <c r="G41" s="14">
        <f>SUM('Haziran'!G6:G30)</f>
        <v/>
      </c>
      <c r="H41" s="31">
        <f>SUM('Haziran'!H31:BO31)</f>
        <v/>
      </c>
    </row>
    <row r="42">
      <c r="A42" s="28" t="inlineStr">
        <is>
          <t>Temmuz</t>
        </is>
      </c>
      <c r="B42" s="28" t="n"/>
      <c r="C42" s="9" t="n">
        <v>31</v>
      </c>
      <c r="D42" s="11">
        <f>SUM('Temmuz'!D6:D30)</f>
        <v/>
      </c>
      <c r="E42" s="11">
        <f>SUM('Temmuz'!E6:E30)</f>
        <v/>
      </c>
      <c r="F42" s="11">
        <f>SUM('Temmuz'!F6:F30)</f>
        <v/>
      </c>
      <c r="G42" s="11">
        <f>SUM('Temmuz'!G6:G30)</f>
        <v/>
      </c>
      <c r="H42" s="29">
        <f>SUM('Temmuz'!H31:BQ31)</f>
        <v/>
      </c>
    </row>
    <row r="43">
      <c r="A43" s="30" t="inlineStr">
        <is>
          <t>Ağustos</t>
        </is>
      </c>
      <c r="B43" s="30" t="n"/>
      <c r="C43" s="12" t="n">
        <v>31</v>
      </c>
      <c r="D43" s="14">
        <f>SUM('Ağustos'!D6:D30)</f>
        <v/>
      </c>
      <c r="E43" s="14">
        <f>SUM('Ağustos'!E6:E30)</f>
        <v/>
      </c>
      <c r="F43" s="14">
        <f>SUM('Ağustos'!F6:F30)</f>
        <v/>
      </c>
      <c r="G43" s="14">
        <f>SUM('Ağustos'!G6:G30)</f>
        <v/>
      </c>
      <c r="H43" s="31">
        <f>SUM('Ağustos'!H31:BQ31)</f>
        <v/>
      </c>
    </row>
    <row r="44">
      <c r="A44" s="28" t="inlineStr">
        <is>
          <t>Eylül</t>
        </is>
      </c>
      <c r="B44" s="28" t="n"/>
      <c r="C44" s="9" t="n">
        <v>30</v>
      </c>
      <c r="D44" s="11">
        <f>SUM('Eylül'!D6:D30)</f>
        <v/>
      </c>
      <c r="E44" s="11">
        <f>SUM('Eylül'!E6:E30)</f>
        <v/>
      </c>
      <c r="F44" s="11">
        <f>SUM('Eylül'!F6:F30)</f>
        <v/>
      </c>
      <c r="G44" s="11">
        <f>SUM('Eylül'!G6:G30)</f>
        <v/>
      </c>
      <c r="H44" s="29">
        <f>SUM('Eylül'!H31:BO31)</f>
        <v/>
      </c>
    </row>
    <row r="45">
      <c r="A45" s="30" t="inlineStr">
        <is>
          <t>Ekim</t>
        </is>
      </c>
      <c r="B45" s="30" t="n"/>
      <c r="C45" s="12" t="n">
        <v>31</v>
      </c>
      <c r="D45" s="14">
        <f>SUM('Ekim'!D6:D30)</f>
        <v/>
      </c>
      <c r="E45" s="14">
        <f>SUM('Ekim'!E6:E30)</f>
        <v/>
      </c>
      <c r="F45" s="14">
        <f>SUM('Ekim'!F6:F30)</f>
        <v/>
      </c>
      <c r="G45" s="14">
        <f>SUM('Ekim'!G6:G30)</f>
        <v/>
      </c>
      <c r="H45" s="31">
        <f>SUM('Ekim'!H31:BQ31)</f>
        <v/>
      </c>
    </row>
    <row r="46">
      <c r="A46" s="28" t="inlineStr">
        <is>
          <t>Kasım</t>
        </is>
      </c>
      <c r="B46" s="28" t="n"/>
      <c r="C46" s="9" t="n">
        <v>30</v>
      </c>
      <c r="D46" s="11">
        <f>SUM('Kasım'!D6:D30)</f>
        <v/>
      </c>
      <c r="E46" s="11">
        <f>SUM('Kasım'!E6:E30)</f>
        <v/>
      </c>
      <c r="F46" s="11">
        <f>SUM('Kasım'!F6:F30)</f>
        <v/>
      </c>
      <c r="G46" s="11">
        <f>SUM('Kasım'!G6:G30)</f>
        <v/>
      </c>
      <c r="H46" s="29">
        <f>SUM('Kasım'!H31:BO31)</f>
        <v/>
      </c>
    </row>
    <row r="47">
      <c r="A47" s="30" t="inlineStr">
        <is>
          <t>Aralık</t>
        </is>
      </c>
      <c r="B47" s="30" t="n"/>
      <c r="C47" s="12" t="n">
        <v>31</v>
      </c>
      <c r="D47" s="14">
        <f>SUM('Aralık'!D6:D30)</f>
        <v/>
      </c>
      <c r="E47" s="14">
        <f>SUM('Aralık'!E6:E30)</f>
        <v/>
      </c>
      <c r="F47" s="14">
        <f>SUM('Aralık'!F6:F30)</f>
        <v/>
      </c>
      <c r="G47" s="14">
        <f>SUM('Aralık'!G6:G30)</f>
        <v/>
      </c>
      <c r="H47" s="31">
        <f>SUM('Aralık'!H31:BQ31)</f>
        <v/>
      </c>
    </row>
    <row r="48" ht="24" customHeight="1">
      <c r="A48" s="8" t="inlineStr">
        <is>
          <t>YIL TOPLAMI</t>
        </is>
      </c>
      <c r="B48" s="8" t="n"/>
      <c r="C48" s="32">
        <f>SUM(C36:C47)</f>
        <v/>
      </c>
      <c r="D48" s="33">
        <f>SUM(D36:D47)</f>
        <v/>
      </c>
      <c r="E48" s="33">
        <f>SUM(E36:E47)</f>
        <v/>
      </c>
      <c r="F48" s="33">
        <f>SUM(F36:F47)</f>
        <v/>
      </c>
      <c r="G48" s="33">
        <f>SUM(G36:G47)</f>
        <v/>
      </c>
      <c r="H48" s="32">
        <f>SUM(H36:H47)</f>
        <v/>
      </c>
    </row>
  </sheetData>
  <mergeCells count="19">
    <mergeCell ref="A48:B48"/>
    <mergeCell ref="A45:B45"/>
    <mergeCell ref="A36:B36"/>
    <mergeCell ref="A1:H1"/>
    <mergeCell ref="A41:B41"/>
    <mergeCell ref="A37:B37"/>
    <mergeCell ref="A46:B46"/>
    <mergeCell ref="A3:B3"/>
    <mergeCell ref="A31:C31"/>
    <mergeCell ref="A47:B47"/>
    <mergeCell ref="A42:B42"/>
    <mergeCell ref="D3:H3"/>
    <mergeCell ref="A35:B35"/>
    <mergeCell ref="A38:B38"/>
    <mergeCell ref="A43:B43"/>
    <mergeCell ref="A44:B44"/>
    <mergeCell ref="A40:B40"/>
    <mergeCell ref="A39:B39"/>
    <mergeCell ref="A34:H34"/>
  </mergeCells>
  <conditionalFormatting sqref="A36:H47">
    <cfRule type="expression" priority="1" dxfId="0">
      <formula>$A36=$C$3</formula>
    </cfRule>
  </conditionalFormatting>
  <dataValidations count="1">
    <dataValidation sqref="C3" showDropDown="0" showInputMessage="1" showErrorMessage="1" allowBlank="0" errorTitle="Geçersiz Ay" error="Listeden bir ay seçiniz." promptTitle="Rapor Ayı" prompt="Raporlanacak ayı listeden seçin." type="list">
      <formula1>"Ocak,Şubat,Mart,Nisan,Mayıs,Haziran,Temmuz,Ağustos,Eylül,Ekim,Kasım,Aralık"</formula1>
    </dataValidation>
  </dataValidations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3" customWidth="1" min="4" max="4"/>
    <col width="13" customWidth="1" min="5" max="5"/>
    <col width="30" customWidth="1" min="6" max="6"/>
  </cols>
  <sheetData>
    <row r="1" ht="34" customHeight="1">
      <c r="A1" s="1" t="inlineStr">
        <is>
          <t>2026 PERSONEL LİSTESİ</t>
        </is>
      </c>
      <c r="B1" s="1" t="n"/>
      <c r="C1" s="1" t="n"/>
      <c r="D1" s="1" t="n"/>
      <c r="E1" s="1" t="n"/>
      <c r="F1" s="1" t="n"/>
    </row>
    <row r="2" ht="32" customHeight="1">
      <c r="A2" s="34" t="inlineStr">
        <is>
          <t>Personeli yalnızca bu sayfaya girin; tüm ay sayfaları ve raporlar otomatik güncellenir. İşe giriş / ayrılış tarihi girilirse o tarihlerin dışındaki günler ay sayfalarında koyu gri görünür.</t>
        </is>
      </c>
      <c r="B2" s="34" t="n"/>
      <c r="C2" s="34" t="n"/>
      <c r="D2" s="34" t="n"/>
      <c r="E2" s="34" t="n"/>
      <c r="F2" s="34" t="n"/>
    </row>
    <row r="4" ht="24" customHeight="1">
      <c r="A4" s="8" t="inlineStr">
        <is>
          <t>S.N</t>
        </is>
      </c>
      <c r="B4" s="8" t="inlineStr">
        <is>
          <t>AD SOYAD</t>
        </is>
      </c>
      <c r="C4" s="8" t="inlineStr">
        <is>
          <t>BİRİM / GÖREV</t>
        </is>
      </c>
      <c r="D4" s="8" t="inlineStr">
        <is>
          <t>İŞE GİRİŞ</t>
        </is>
      </c>
      <c r="E4" s="8" t="inlineStr">
        <is>
          <t>AYRILIŞ</t>
        </is>
      </c>
      <c r="F4" s="8" t="inlineStr">
        <is>
          <t>NOT</t>
        </is>
      </c>
    </row>
    <row r="5" ht="20" customHeight="1">
      <c r="A5" s="28">
        <f>IF(B5="","",ROW()-4)</f>
        <v/>
      </c>
      <c r="B5" s="35" t="inlineStr">
        <is>
          <t>ALİ HAŞŞUM</t>
        </is>
      </c>
      <c r="C5" s="9" t="n"/>
      <c r="D5" s="36" t="n"/>
      <c r="E5" s="36" t="n"/>
      <c r="F5" s="10" t="n"/>
    </row>
    <row r="6" ht="20" customHeight="1">
      <c r="A6" s="30">
        <f>IF(B6="","",ROW()-4)</f>
        <v/>
      </c>
      <c r="B6" s="37" t="inlineStr">
        <is>
          <t>AYDIN ARSLAN</t>
        </is>
      </c>
      <c r="C6" s="12" t="n"/>
      <c r="D6" s="38" t="n"/>
      <c r="E6" s="38" t="n"/>
      <c r="F6" s="13" t="n"/>
    </row>
    <row r="7" ht="20" customHeight="1">
      <c r="A7" s="28">
        <f>IF(B7="","",ROW()-4)</f>
        <v/>
      </c>
      <c r="B7" s="35" t="inlineStr">
        <is>
          <t>ELİF BEYZA KURADA</t>
        </is>
      </c>
      <c r="C7" s="9" t="n"/>
      <c r="D7" s="36" t="n"/>
      <c r="E7" s="36" t="n"/>
      <c r="F7" s="10" t="n"/>
    </row>
    <row r="8" ht="20" customHeight="1">
      <c r="A8" s="30">
        <f>IF(B8="","",ROW()-4)</f>
        <v/>
      </c>
      <c r="B8" s="37" t="inlineStr">
        <is>
          <t>ALİHAN AKGÜL</t>
        </is>
      </c>
      <c r="C8" s="12" t="n"/>
      <c r="D8" s="38" t="n"/>
      <c r="E8" s="38" t="n"/>
      <c r="F8" s="13" t="n"/>
    </row>
    <row r="9" ht="20" customHeight="1">
      <c r="A9" s="28">
        <f>IF(B9="","",ROW()-4)</f>
        <v/>
      </c>
      <c r="B9" s="35" t="inlineStr">
        <is>
          <t>METİNCAN ÖZEV</t>
        </is>
      </c>
      <c r="C9" s="9" t="n"/>
      <c r="D9" s="36" t="n"/>
      <c r="E9" s="36" t="n"/>
      <c r="F9" s="10" t="n"/>
    </row>
    <row r="10" ht="20" customHeight="1">
      <c r="A10" s="30">
        <f>IF(B10="","",ROW()-4)</f>
        <v/>
      </c>
      <c r="B10" s="37" t="inlineStr">
        <is>
          <t>CİHAT İBRAHİM</t>
        </is>
      </c>
      <c r="C10" s="12" t="n"/>
      <c r="D10" s="38" t="n"/>
      <c r="E10" s="38" t="n"/>
      <c r="F10" s="13" t="n"/>
    </row>
    <row r="11" ht="20" customHeight="1">
      <c r="A11" s="28">
        <f>IF(B11="","",ROW()-4)</f>
        <v/>
      </c>
      <c r="B11" s="35" t="inlineStr">
        <is>
          <t>MUHAMMED EL NEBHAN</t>
        </is>
      </c>
      <c r="C11" s="9" t="n"/>
      <c r="D11" s="36" t="n"/>
      <c r="E11" s="36" t="n"/>
      <c r="F11" s="10" t="n"/>
    </row>
    <row r="12" ht="20" customHeight="1">
      <c r="A12" s="30">
        <f>IF(B12="","",ROW()-4)</f>
        <v/>
      </c>
      <c r="B12" s="37" t="inlineStr">
        <is>
          <t>KURBAN AFG</t>
        </is>
      </c>
      <c r="C12" s="12" t="n"/>
      <c r="D12" s="38" t="n"/>
      <c r="E12" s="38" t="n"/>
      <c r="F12" s="13" t="n"/>
    </row>
    <row r="13" ht="20" customHeight="1">
      <c r="A13" s="28">
        <f>IF(B13="","",ROW()-4)</f>
        <v/>
      </c>
      <c r="B13" s="35" t="inlineStr">
        <is>
          <t>TUGAY KESKİN</t>
        </is>
      </c>
      <c r="C13" s="9" t="n"/>
      <c r="D13" s="36" t="n"/>
      <c r="E13" s="36" t="n"/>
      <c r="F13" s="10" t="n"/>
    </row>
    <row r="14" ht="20" customHeight="1">
      <c r="A14" s="30">
        <f>IF(B14="","",ROW()-4)</f>
        <v/>
      </c>
      <c r="B14" s="37" t="inlineStr">
        <is>
          <t>SERKAN MİSİR</t>
        </is>
      </c>
      <c r="C14" s="12" t="n"/>
      <c r="D14" s="38" t="n"/>
      <c r="E14" s="38" t="n"/>
      <c r="F14" s="13" t="n"/>
    </row>
    <row r="15" ht="20" customHeight="1">
      <c r="A15" s="28">
        <f>IF(B15="","",ROW()-4)</f>
        <v/>
      </c>
      <c r="B15" s="35" t="inlineStr">
        <is>
          <t>ALİ ALİ</t>
        </is>
      </c>
      <c r="C15" s="9" t="n"/>
      <c r="D15" s="36" t="n"/>
      <c r="E15" s="36" t="n"/>
      <c r="F15" s="10" t="n"/>
    </row>
    <row r="16" ht="20" customHeight="1">
      <c r="A16" s="30">
        <f>IF(B16="","",ROW()-4)</f>
        <v/>
      </c>
      <c r="B16" s="37" t="inlineStr">
        <is>
          <t>YASİN KAHRAMAN</t>
        </is>
      </c>
      <c r="C16" s="12" t="n"/>
      <c r="D16" s="38" t="n"/>
      <c r="E16" s="38" t="n"/>
      <c r="F16" s="13" t="n"/>
    </row>
    <row r="17" ht="20" customHeight="1">
      <c r="A17" s="28">
        <f>IF(B17="","",ROW()-4)</f>
        <v/>
      </c>
      <c r="B17" s="35" t="inlineStr">
        <is>
          <t>MAHMUD ZARUR</t>
        </is>
      </c>
      <c r="C17" s="9" t="n"/>
      <c r="D17" s="36" t="n"/>
      <c r="E17" s="36" t="n"/>
      <c r="F17" s="10" t="n"/>
    </row>
    <row r="18" ht="20" customHeight="1">
      <c r="A18" s="30">
        <f>IF(B18="","",ROW()-4)</f>
        <v/>
      </c>
      <c r="B18" s="37" t="inlineStr">
        <is>
          <t>AHMET</t>
        </is>
      </c>
      <c r="C18" s="12" t="inlineStr">
        <is>
          <t>FABRİKA</t>
        </is>
      </c>
      <c r="D18" s="38" t="n"/>
      <c r="E18" s="38" t="n"/>
      <c r="F18" s="13" t="n"/>
    </row>
    <row r="19" ht="20" customHeight="1">
      <c r="A19" s="28">
        <f>IF(B19="","",ROW()-4)</f>
        <v/>
      </c>
      <c r="B19" s="35" t="inlineStr">
        <is>
          <t>ABDÜLHAMİT</t>
        </is>
      </c>
      <c r="C19" s="9" t="inlineStr">
        <is>
          <t>FABRİKA</t>
        </is>
      </c>
      <c r="D19" s="36" t="n"/>
      <c r="E19" s="36" t="n"/>
      <c r="F19" s="10" t="n"/>
    </row>
    <row r="20" ht="20" customHeight="1">
      <c r="A20" s="30">
        <f>IF(B20="","",ROW()-4)</f>
        <v/>
      </c>
      <c r="B20" s="37" t="inlineStr">
        <is>
          <t>VELİT</t>
        </is>
      </c>
      <c r="C20" s="12" t="inlineStr">
        <is>
          <t>FABRİKA</t>
        </is>
      </c>
      <c r="D20" s="38" t="n"/>
      <c r="E20" s="38" t="n"/>
      <c r="F20" s="13" t="n"/>
    </row>
    <row r="21" ht="20" customHeight="1">
      <c r="A21" s="28">
        <f>IF(B21="","",ROW()-4)</f>
        <v/>
      </c>
      <c r="B21" s="35" t="inlineStr">
        <is>
          <t>HÜSEYİN</t>
        </is>
      </c>
      <c r="C21" s="9" t="inlineStr">
        <is>
          <t>FABRİKA</t>
        </is>
      </c>
      <c r="D21" s="36" t="n"/>
      <c r="E21" s="36" t="n"/>
      <c r="F21" s="10" t="n"/>
    </row>
    <row r="22" ht="20" customHeight="1">
      <c r="A22" s="30">
        <f>IF(B22="","",ROW()-4)</f>
        <v/>
      </c>
      <c r="B22" s="37" t="n"/>
      <c r="C22" s="12" t="n"/>
      <c r="D22" s="38" t="n"/>
      <c r="E22" s="38" t="n"/>
      <c r="F22" s="13" t="n"/>
    </row>
    <row r="23" ht="20" customHeight="1">
      <c r="A23" s="28">
        <f>IF(B23="","",ROW()-4)</f>
        <v/>
      </c>
      <c r="B23" s="35" t="n"/>
      <c r="C23" s="9" t="n"/>
      <c r="D23" s="36" t="n"/>
      <c r="E23" s="36" t="n"/>
      <c r="F23" s="10" t="n"/>
    </row>
    <row r="24" ht="20" customHeight="1">
      <c r="A24" s="30">
        <f>IF(B24="","",ROW()-4)</f>
        <v/>
      </c>
      <c r="B24" s="37" t="n"/>
      <c r="C24" s="12" t="n"/>
      <c r="D24" s="38" t="n"/>
      <c r="E24" s="38" t="n"/>
      <c r="F24" s="13" t="n"/>
    </row>
    <row r="25" ht="20" customHeight="1">
      <c r="A25" s="28">
        <f>IF(B25="","",ROW()-4)</f>
        <v/>
      </c>
      <c r="B25" s="35" t="n"/>
      <c r="C25" s="9" t="n"/>
      <c r="D25" s="36" t="n"/>
      <c r="E25" s="36" t="n"/>
      <c r="F25" s="10" t="n"/>
    </row>
    <row r="26" ht="20" customHeight="1">
      <c r="A26" s="30">
        <f>IF(B26="","",ROW()-4)</f>
        <v/>
      </c>
      <c r="B26" s="37" t="n"/>
      <c r="C26" s="12" t="n"/>
      <c r="D26" s="38" t="n"/>
      <c r="E26" s="38" t="n"/>
      <c r="F26" s="13" t="n"/>
    </row>
    <row r="27" ht="20" customHeight="1">
      <c r="A27" s="28">
        <f>IF(B27="","",ROW()-4)</f>
        <v/>
      </c>
      <c r="B27" s="35" t="n"/>
      <c r="C27" s="9" t="n"/>
      <c r="D27" s="36" t="n"/>
      <c r="E27" s="36" t="n"/>
      <c r="F27" s="10" t="n"/>
    </row>
    <row r="28" ht="20" customHeight="1">
      <c r="A28" s="30">
        <f>IF(B28="","",ROW()-4)</f>
        <v/>
      </c>
      <c r="B28" s="37" t="n"/>
      <c r="C28" s="12" t="n"/>
      <c r="D28" s="38" t="n"/>
      <c r="E28" s="38" t="n"/>
      <c r="F28" s="13" t="n"/>
    </row>
    <row r="29" ht="20" customHeight="1">
      <c r="A29" s="28">
        <f>IF(B29="","",ROW()-4)</f>
        <v/>
      </c>
      <c r="B29" s="35" t="n"/>
      <c r="C29" s="9" t="n"/>
      <c r="D29" s="36" t="n"/>
      <c r="E29" s="36" t="n"/>
      <c r="F29" s="10" t="n"/>
    </row>
  </sheetData>
  <mergeCells count="2">
    <mergeCell ref="A2:F2"/>
    <mergeCell ref="A1:F1"/>
  </mergeCells>
  <dataValidations count="2">
    <dataValidation sqref="B5:B29" showDropDown="0" showInputMessage="0" showErrorMessage="1" allowBlank="1" errorTitle="Büyük Harf Gerekli" error="Ad Soyad BÜYÜK HARF ile yazılmalıdır." type="custom">
      <formula1>EXACT(B5,UPPER(B5))</formula1>
    </dataValidation>
    <dataValidation sqref="D5:E29" showDropDown="0" showInputMessage="0" showErrorMessage="1" allowBlank="1" errorTitle="Geçersiz Tarih" error="Lütfen GG.AA.YYYY biçiminde bir tarih girin." type="date" operator="greaterThan">
      <formula1>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J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1" customWidth="1" min="3" max="3"/>
    <col width="12" customWidth="1" min="4" max="4"/>
    <col width="10" customWidth="1" min="5" max="5"/>
    <col width="9" customWidth="1" min="6" max="6"/>
    <col width="13" customWidth="1" min="7" max="7"/>
    <col width="3" customWidth="1" min="8" max="8"/>
    <col width="13" customWidth="1" min="9" max="9"/>
    <col width="38" customWidth="1" min="10" max="10"/>
  </cols>
  <sheetData>
    <row r="1" ht="34" customHeight="1">
      <c r="A1" s="1" t="inlineStr">
        <is>
          <t>PUANTAJ KODLARI VE RESMİ TATİLLER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34" t="inlineStr">
        <is>
          <t>Sarı alanlar düzenlenebilir. Kodun gün değerleri tüm ay sayfalarındaki toplamları belirler; renk grubu hücre rengini, tatil listesi ay sayfalarındaki gün gölgelendirmesini belirler.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</row>
    <row r="4" ht="30" customHeight="1">
      <c r="A4" s="8" t="inlineStr">
        <is>
          <t>Kod</t>
        </is>
      </c>
      <c r="B4" s="8" t="inlineStr">
        <is>
          <t>Açıklama</t>
        </is>
      </c>
      <c r="C4" s="8" t="inlineStr">
        <is>
          <t>Çalışılan
Gün</t>
        </is>
      </c>
      <c r="D4" s="8" t="inlineStr">
        <is>
          <t>Devamsızlık</t>
        </is>
      </c>
      <c r="E4" s="8" t="inlineStr">
        <is>
          <t>İzin /
Rapor</t>
        </is>
      </c>
      <c r="F4" s="8" t="inlineStr">
        <is>
          <t>Yemek
(1/0)</t>
        </is>
      </c>
      <c r="G4" s="8" t="inlineStr">
        <is>
          <t>Renk Grubu</t>
        </is>
      </c>
      <c r="I4" s="8" t="inlineStr">
        <is>
          <t>Tarih</t>
        </is>
      </c>
      <c r="J4" s="8" t="inlineStr">
        <is>
          <t>Tatil Açıklaması</t>
        </is>
      </c>
    </row>
    <row r="5">
      <c r="A5" s="39" t="inlineStr">
        <is>
          <t>X</t>
        </is>
      </c>
      <c r="B5" s="40" t="inlineStr">
        <is>
          <t>Geldi (tam gün)</t>
        </is>
      </c>
      <c r="C5" s="41" t="n">
        <v>1</v>
      </c>
      <c r="D5" s="41" t="n">
        <v>0</v>
      </c>
      <c r="E5" s="41" t="n">
        <v>0</v>
      </c>
      <c r="F5" s="42" t="n">
        <v>1</v>
      </c>
      <c r="G5" s="42" t="inlineStr">
        <is>
          <t>ÇALIŞTI</t>
        </is>
      </c>
      <c r="I5" s="43" t="n">
        <v>46023</v>
      </c>
      <c r="J5" s="40" t="inlineStr">
        <is>
          <t>Yılbaşı</t>
        </is>
      </c>
    </row>
    <row r="6">
      <c r="A6" s="44" t="inlineStr">
        <is>
          <t>YARIM</t>
        </is>
      </c>
      <c r="B6" s="40" t="inlineStr">
        <is>
          <t>Yarım gün çalıştı</t>
        </is>
      </c>
      <c r="C6" s="41" t="n">
        <v>0.5</v>
      </c>
      <c r="D6" s="41" t="n">
        <v>0.5</v>
      </c>
      <c r="E6" s="41" t="n">
        <v>0</v>
      </c>
      <c r="F6" s="42" t="n">
        <v>1</v>
      </c>
      <c r="G6" s="42" t="inlineStr">
        <is>
          <t>YARIM</t>
        </is>
      </c>
      <c r="I6" s="43" t="n">
        <v>46101</v>
      </c>
      <c r="J6" s="40" t="inlineStr">
        <is>
          <t>Ramazan Bayramı 1. gün</t>
        </is>
      </c>
    </row>
    <row r="7">
      <c r="A7" s="44" t="inlineStr">
        <is>
          <t>GY</t>
        </is>
      </c>
      <c r="B7" s="40" t="inlineStr">
        <is>
          <t>Yarım gün (GY)</t>
        </is>
      </c>
      <c r="C7" s="41" t="n">
        <v>0.5</v>
      </c>
      <c r="D7" s="41" t="n">
        <v>0.5</v>
      </c>
      <c r="E7" s="41" t="n">
        <v>0</v>
      </c>
      <c r="F7" s="42" t="n">
        <v>1</v>
      </c>
      <c r="G7" s="42" t="inlineStr">
        <is>
          <t>YARIM</t>
        </is>
      </c>
      <c r="I7" s="43" t="n">
        <v>46102</v>
      </c>
      <c r="J7" s="40" t="inlineStr">
        <is>
          <t>Ramazan Bayramı 2. gün</t>
        </is>
      </c>
    </row>
    <row r="8">
      <c r="A8" s="45" t="inlineStr">
        <is>
          <t>Y</t>
        </is>
      </c>
      <c r="B8" s="40" t="inlineStr">
        <is>
          <t>Gelmedi (yok)</t>
        </is>
      </c>
      <c r="C8" s="41" t="n">
        <v>0</v>
      </c>
      <c r="D8" s="41" t="n">
        <v>1</v>
      </c>
      <c r="E8" s="41" t="n">
        <v>0</v>
      </c>
      <c r="F8" s="42" t="n">
        <v>0</v>
      </c>
      <c r="G8" s="42" t="inlineStr">
        <is>
          <t>DEVAMSIZ</t>
        </is>
      </c>
      <c r="I8" s="43" t="n">
        <v>46103</v>
      </c>
      <c r="J8" s="40" t="inlineStr">
        <is>
          <t>Ramazan Bayramı 3. gün</t>
        </is>
      </c>
    </row>
    <row r="9">
      <c r="A9" s="46" t="inlineStr">
        <is>
          <t>V</t>
        </is>
      </c>
      <c r="B9" s="40" t="inlineStr">
        <is>
          <t>Vizite / sağlık raporu</t>
        </is>
      </c>
      <c r="C9" s="41" t="n">
        <v>0</v>
      </c>
      <c r="D9" s="41" t="n">
        <v>0</v>
      </c>
      <c r="E9" s="41" t="n">
        <v>1</v>
      </c>
      <c r="F9" s="42" t="n">
        <v>0</v>
      </c>
      <c r="G9" s="42" t="inlineStr">
        <is>
          <t>İZİN</t>
        </is>
      </c>
      <c r="I9" s="43" t="n">
        <v>46135</v>
      </c>
      <c r="J9" s="40" t="inlineStr">
        <is>
          <t>Ulusal Egemenlik ve Çocuk Bayramı</t>
        </is>
      </c>
    </row>
    <row r="10">
      <c r="A10" s="46" t="inlineStr">
        <is>
          <t>İ</t>
        </is>
      </c>
      <c r="B10" s="40" t="inlineStr">
        <is>
          <t>Yıllık ücretli izin</t>
        </is>
      </c>
      <c r="C10" s="41" t="n">
        <v>0</v>
      </c>
      <c r="D10" s="41" t="n">
        <v>0</v>
      </c>
      <c r="E10" s="41" t="n">
        <v>1</v>
      </c>
      <c r="F10" s="42" t="n">
        <v>0</v>
      </c>
      <c r="G10" s="42" t="inlineStr">
        <is>
          <t>İZİN</t>
        </is>
      </c>
      <c r="I10" s="43" t="n">
        <v>46143</v>
      </c>
      <c r="J10" s="40" t="inlineStr">
        <is>
          <t>Emek ve Dayanışma Günü</t>
        </is>
      </c>
    </row>
    <row r="11">
      <c r="A11" s="46" t="inlineStr">
        <is>
          <t>Ü</t>
        </is>
      </c>
      <c r="B11" s="40" t="inlineStr">
        <is>
          <t>Ücretsiz izin</t>
        </is>
      </c>
      <c r="C11" s="41" t="n">
        <v>0</v>
      </c>
      <c r="D11" s="41" t="n">
        <v>0</v>
      </c>
      <c r="E11" s="41" t="n">
        <v>1</v>
      </c>
      <c r="F11" s="42" t="n">
        <v>0</v>
      </c>
      <c r="G11" s="42" t="inlineStr">
        <is>
          <t>İZİN</t>
        </is>
      </c>
      <c r="I11" s="43" t="n">
        <v>46161</v>
      </c>
      <c r="J11" s="40" t="inlineStr">
        <is>
          <t>Atatürk'ü Anma, Gençlik ve Spor Bayramı</t>
        </is>
      </c>
    </row>
    <row r="12">
      <c r="A12" s="47" t="inlineStr">
        <is>
          <t>RT</t>
        </is>
      </c>
      <c r="B12" s="40" t="inlineStr">
        <is>
          <t>Resmi tatil (çalışmadı)</t>
        </is>
      </c>
      <c r="C12" s="41" t="n">
        <v>0</v>
      </c>
      <c r="D12" s="41" t="n">
        <v>0</v>
      </c>
      <c r="E12" s="41" t="n">
        <v>0</v>
      </c>
      <c r="F12" s="42" t="n">
        <v>0</v>
      </c>
      <c r="G12" s="42" t="inlineStr">
        <is>
          <t>TATİL</t>
        </is>
      </c>
      <c r="I12" s="43" t="n">
        <v>46169</v>
      </c>
      <c r="J12" s="40" t="inlineStr">
        <is>
          <t>Kurban Bayramı 1. gün</t>
        </is>
      </c>
    </row>
    <row r="13">
      <c r="A13" s="48" t="n"/>
      <c r="B13" s="40" t="n"/>
      <c r="C13" s="41" t="n"/>
      <c r="D13" s="41" t="n"/>
      <c r="E13" s="41" t="n"/>
      <c r="F13" s="42" t="n"/>
      <c r="G13" s="42" t="n"/>
      <c r="I13" s="43" t="n">
        <v>46170</v>
      </c>
      <c r="J13" s="40" t="inlineStr">
        <is>
          <t>Kurban Bayramı 2. gün</t>
        </is>
      </c>
    </row>
    <row r="14">
      <c r="A14" s="48" t="n"/>
      <c r="B14" s="40" t="n"/>
      <c r="C14" s="41" t="n"/>
      <c r="D14" s="41" t="n"/>
      <c r="E14" s="41" t="n"/>
      <c r="F14" s="42" t="n"/>
      <c r="G14" s="42" t="n"/>
      <c r="I14" s="43" t="n">
        <v>46171</v>
      </c>
      <c r="J14" s="40" t="inlineStr">
        <is>
          <t>Kurban Bayramı 3. gün</t>
        </is>
      </c>
    </row>
    <row r="15">
      <c r="A15" s="48" t="n"/>
      <c r="B15" s="40" t="n"/>
      <c r="C15" s="41" t="n"/>
      <c r="D15" s="41" t="n"/>
      <c r="E15" s="41" t="n"/>
      <c r="F15" s="42" t="n"/>
      <c r="G15" s="42" t="n"/>
      <c r="I15" s="43" t="n">
        <v>46172</v>
      </c>
      <c r="J15" s="40" t="inlineStr">
        <is>
          <t>Kurban Bayramı 4. gün</t>
        </is>
      </c>
    </row>
    <row r="16">
      <c r="A16" s="48" t="n"/>
      <c r="B16" s="40" t="n"/>
      <c r="C16" s="41" t="n"/>
      <c r="D16" s="41" t="n"/>
      <c r="E16" s="41" t="n"/>
      <c r="F16" s="42" t="n"/>
      <c r="G16" s="42" t="n"/>
      <c r="I16" s="43" t="n">
        <v>46218</v>
      </c>
      <c r="J16" s="40" t="inlineStr">
        <is>
          <t>Demokrasi ve Millî Birlik Günü</t>
        </is>
      </c>
    </row>
    <row r="17">
      <c r="A17" s="48" t="n"/>
      <c r="B17" s="40" t="n"/>
      <c r="C17" s="41" t="n"/>
      <c r="D17" s="41" t="n"/>
      <c r="E17" s="41" t="n"/>
      <c r="F17" s="42" t="n"/>
      <c r="G17" s="42" t="n"/>
      <c r="I17" s="43" t="n">
        <v>46264</v>
      </c>
      <c r="J17" s="40" t="inlineStr">
        <is>
          <t>Zafer Bayramı</t>
        </is>
      </c>
    </row>
    <row r="18">
      <c r="A18" s="48" t="n"/>
      <c r="B18" s="40" t="n"/>
      <c r="C18" s="41" t="n"/>
      <c r="D18" s="41" t="n"/>
      <c r="E18" s="41" t="n"/>
      <c r="F18" s="42" t="n"/>
      <c r="G18" s="42" t="n"/>
      <c r="I18" s="43" t="n">
        <v>46324</v>
      </c>
      <c r="J18" s="40" t="inlineStr">
        <is>
          <t>Cumhuriyet Bayramı</t>
        </is>
      </c>
    </row>
    <row r="19">
      <c r="A19" s="48" t="n"/>
      <c r="B19" s="40" t="n"/>
      <c r="C19" s="41" t="n"/>
      <c r="D19" s="41" t="n"/>
      <c r="E19" s="41" t="n"/>
      <c r="F19" s="42" t="n"/>
      <c r="G19" s="42" t="n"/>
      <c r="I19" s="43" t="n"/>
      <c r="J19" s="40" t="n"/>
    </row>
    <row r="20">
      <c r="A20" s="48" t="n"/>
      <c r="B20" s="40" t="n"/>
      <c r="C20" s="41" t="n"/>
      <c r="D20" s="41" t="n"/>
      <c r="E20" s="41" t="n"/>
      <c r="F20" s="42" t="n"/>
      <c r="G20" s="42" t="n"/>
      <c r="I20" s="43" t="n"/>
      <c r="J20" s="40" t="n"/>
    </row>
    <row r="21">
      <c r="A21" s="48" t="n"/>
      <c r="B21" s="40" t="n"/>
      <c r="C21" s="41" t="n"/>
      <c r="D21" s="41" t="n"/>
      <c r="E21" s="41" t="n"/>
      <c r="F21" s="42" t="n"/>
      <c r="G21" s="42" t="n"/>
      <c r="I21" s="43" t="n"/>
      <c r="J21" s="40" t="n"/>
    </row>
    <row r="22">
      <c r="A22" s="48" t="n"/>
      <c r="B22" s="40" t="n"/>
      <c r="C22" s="41" t="n"/>
      <c r="D22" s="41" t="n"/>
      <c r="E22" s="41" t="n"/>
      <c r="F22" s="42" t="n"/>
      <c r="G22" s="42" t="n"/>
      <c r="I22" s="43" t="n"/>
      <c r="J22" s="40" t="n"/>
    </row>
    <row r="23">
      <c r="A23" s="48" t="n"/>
      <c r="B23" s="40" t="n"/>
      <c r="C23" s="41" t="n"/>
      <c r="D23" s="41" t="n"/>
      <c r="E23" s="41" t="n"/>
      <c r="F23" s="42" t="n"/>
      <c r="G23" s="42" t="n"/>
      <c r="I23" s="43" t="n"/>
      <c r="J23" s="40" t="n"/>
    </row>
    <row r="24">
      <c r="A24" s="48" t="n"/>
      <c r="B24" s="40" t="n"/>
      <c r="C24" s="41" t="n"/>
      <c r="D24" s="41" t="n"/>
      <c r="E24" s="41" t="n"/>
      <c r="F24" s="42" t="n"/>
      <c r="G24" s="42" t="n"/>
      <c r="I24" s="43" t="n"/>
      <c r="J24" s="40" t="n"/>
    </row>
    <row r="25">
      <c r="I25" s="43" t="n"/>
      <c r="J25" s="40" t="n"/>
    </row>
    <row r="26">
      <c r="A26" s="49" t="inlineStr">
        <is>
          <t>Renk grupları</t>
        </is>
      </c>
      <c r="I26" s="43" t="n"/>
      <c r="J26" s="40" t="n"/>
    </row>
    <row r="27">
      <c r="A27" s="50" t="inlineStr">
        <is>
          <t>ÇALIŞTI</t>
        </is>
      </c>
      <c r="I27" s="43" t="n"/>
      <c r="J27" s="40" t="n"/>
    </row>
    <row r="28">
      <c r="A28" s="51" t="inlineStr">
        <is>
          <t>YARIM</t>
        </is>
      </c>
      <c r="I28" s="43" t="n"/>
      <c r="J28" s="40" t="n"/>
    </row>
    <row r="29">
      <c r="A29" s="52" t="inlineStr">
        <is>
          <t>DEVAMSIZ</t>
        </is>
      </c>
      <c r="I29" s="43" t="n"/>
      <c r="J29" s="40" t="n"/>
    </row>
    <row r="30">
      <c r="A30" s="53" t="inlineStr">
        <is>
          <t>İZİN</t>
        </is>
      </c>
      <c r="I30" s="43" t="n"/>
      <c r="J30" s="40" t="n"/>
    </row>
    <row r="31">
      <c r="A31" s="54" t="inlineStr">
        <is>
          <t>TATİL</t>
        </is>
      </c>
      <c r="I31" s="43" t="n"/>
      <c r="J31" s="40" t="n"/>
    </row>
    <row r="32">
      <c r="A32" s="55" t="inlineStr">
        <is>
          <t>TANIMSIZ</t>
        </is>
      </c>
      <c r="B32" s="56" t="inlineStr">
        <is>
          <t>Listede olmayan kod girilirse</t>
        </is>
      </c>
      <c r="I32" s="43" t="n"/>
      <c r="J32" s="40" t="n"/>
    </row>
    <row r="33">
      <c r="I33" s="43" t="n"/>
      <c r="J33" s="40" t="n"/>
    </row>
    <row r="34">
      <c r="I34" s="43" t="n"/>
      <c r="J34" s="40" t="n"/>
    </row>
    <row r="35">
      <c r="I35" s="43" t="n"/>
      <c r="J35" s="40" t="n"/>
    </row>
    <row r="36">
      <c r="I36" s="43" t="n"/>
      <c r="J36" s="40" t="n"/>
    </row>
    <row r="37">
      <c r="I37" s="43" t="n"/>
      <c r="J37" s="40" t="n"/>
    </row>
    <row r="38">
      <c r="I38" s="43" t="n"/>
      <c r="J38" s="40" t="n"/>
    </row>
    <row r="39">
      <c r="I39" s="43" t="n"/>
      <c r="J39" s="40" t="n"/>
    </row>
    <row r="40">
      <c r="I40" s="43" t="n"/>
      <c r="J40" s="40" t="n"/>
    </row>
    <row r="41">
      <c r="I41" s="43" t="n"/>
      <c r="J41" s="40" t="n"/>
    </row>
    <row r="42">
      <c r="I42" s="43" t="n"/>
      <c r="J42" s="40" t="n"/>
    </row>
    <row r="43">
      <c r="I43" s="43" t="n"/>
      <c r="J43" s="40" t="n"/>
    </row>
    <row r="44">
      <c r="I44" s="43" t="n"/>
      <c r="J44" s="40" t="n"/>
    </row>
  </sheetData>
  <mergeCells count="2">
    <mergeCell ref="A1:J1"/>
    <mergeCell ref="A2:J2"/>
  </mergeCells>
  <dataValidations count="1">
    <dataValidation sqref="G5:G24" showDropDown="0" showInputMessage="0" showErrorMessage="0" allowBlank="1" type="list">
      <formula1>"ÇALIŞTI,YARIM,DEVAMSIZ,İZİN,TATİL"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OCAK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46023</v>
      </c>
      <c r="I3" s="67" t="n"/>
      <c r="J3" s="68" t="n">
        <v>46024</v>
      </c>
      <c r="K3" s="67" t="n"/>
      <c r="L3" s="68" t="n">
        <v>46025</v>
      </c>
      <c r="M3" s="67" t="n"/>
      <c r="N3" s="68" t="n">
        <v>46026</v>
      </c>
      <c r="O3" s="67" t="n"/>
      <c r="P3" s="68" t="n">
        <v>46027</v>
      </c>
      <c r="Q3" s="67" t="n"/>
      <c r="R3" s="68" t="n">
        <v>46028</v>
      </c>
      <c r="S3" s="67" t="n"/>
      <c r="T3" s="68" t="n">
        <v>46029</v>
      </c>
      <c r="U3" s="67" t="n"/>
      <c r="V3" s="68" t="n">
        <v>46030</v>
      </c>
      <c r="W3" s="67" t="n"/>
      <c r="X3" s="68" t="n">
        <v>46031</v>
      </c>
      <c r="Y3" s="67" t="n"/>
      <c r="Z3" s="68" t="n">
        <v>46032</v>
      </c>
      <c r="AA3" s="67" t="n"/>
      <c r="AB3" s="68" t="n">
        <v>46033</v>
      </c>
      <c r="AC3" s="67" t="n"/>
      <c r="AD3" s="68" t="n">
        <v>46034</v>
      </c>
      <c r="AE3" s="67" t="n"/>
      <c r="AF3" s="68" t="n">
        <v>46035</v>
      </c>
      <c r="AG3" s="67" t="n"/>
      <c r="AH3" s="68" t="n">
        <v>46036</v>
      </c>
      <c r="AI3" s="67" t="n"/>
      <c r="AJ3" s="68" t="n">
        <v>46037</v>
      </c>
      <c r="AK3" s="67" t="n"/>
      <c r="AL3" s="68" t="n">
        <v>46038</v>
      </c>
      <c r="AM3" s="67" t="n"/>
      <c r="AN3" s="68" t="n">
        <v>46039</v>
      </c>
      <c r="AO3" s="67" t="n"/>
      <c r="AP3" s="68" t="n">
        <v>46040</v>
      </c>
      <c r="AQ3" s="67" t="n"/>
      <c r="AR3" s="68" t="n">
        <v>46041</v>
      </c>
      <c r="AS3" s="67" t="n"/>
      <c r="AT3" s="68" t="n">
        <v>46042</v>
      </c>
      <c r="AU3" s="67" t="n"/>
      <c r="AV3" s="68" t="n">
        <v>46043</v>
      </c>
      <c r="AW3" s="67" t="n"/>
      <c r="AX3" s="68" t="n">
        <v>46044</v>
      </c>
      <c r="AY3" s="67" t="n"/>
      <c r="AZ3" s="68" t="n">
        <v>46045</v>
      </c>
      <c r="BA3" s="67" t="n"/>
      <c r="BB3" s="68" t="n">
        <v>46046</v>
      </c>
      <c r="BC3" s="67" t="n"/>
      <c r="BD3" s="68" t="n">
        <v>46047</v>
      </c>
      <c r="BE3" s="67" t="n"/>
      <c r="BF3" s="68" t="n">
        <v>46048</v>
      </c>
      <c r="BG3" s="67" t="n"/>
      <c r="BH3" s="68" t="n">
        <v>46049</v>
      </c>
      <c r="BI3" s="67" t="n"/>
      <c r="BJ3" s="68" t="n">
        <v>46050</v>
      </c>
      <c r="BK3" s="67" t="n"/>
      <c r="BL3" s="68" t="n">
        <v>46051</v>
      </c>
      <c r="BM3" s="67" t="n"/>
      <c r="BN3" s="68" t="n">
        <v>46052</v>
      </c>
      <c r="BO3" s="67" t="n"/>
      <c r="BP3" s="68" t="n">
        <v>46053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46023</v>
      </c>
      <c r="I4" s="70" t="n"/>
      <c r="J4" s="71" t="n">
        <v>46024</v>
      </c>
      <c r="K4" s="70" t="n"/>
      <c r="L4" s="71" t="n">
        <v>46025</v>
      </c>
      <c r="M4" s="70" t="n"/>
      <c r="N4" s="71" t="n">
        <v>46026</v>
      </c>
      <c r="O4" s="70" t="n"/>
      <c r="P4" s="71" t="n">
        <v>46027</v>
      </c>
      <c r="Q4" s="70" t="n"/>
      <c r="R4" s="71" t="n">
        <v>46028</v>
      </c>
      <c r="S4" s="70" t="n"/>
      <c r="T4" s="71" t="n">
        <v>46029</v>
      </c>
      <c r="U4" s="70" t="n"/>
      <c r="V4" s="71" t="n">
        <v>46030</v>
      </c>
      <c r="W4" s="70" t="n"/>
      <c r="X4" s="71" t="n">
        <v>46031</v>
      </c>
      <c r="Y4" s="70" t="n"/>
      <c r="Z4" s="71" t="n">
        <v>46032</v>
      </c>
      <c r="AA4" s="70" t="n"/>
      <c r="AB4" s="71" t="n">
        <v>46033</v>
      </c>
      <c r="AC4" s="70" t="n"/>
      <c r="AD4" s="71" t="n">
        <v>46034</v>
      </c>
      <c r="AE4" s="70" t="n"/>
      <c r="AF4" s="71" t="n">
        <v>46035</v>
      </c>
      <c r="AG4" s="70" t="n"/>
      <c r="AH4" s="71" t="n">
        <v>46036</v>
      </c>
      <c r="AI4" s="70" t="n"/>
      <c r="AJ4" s="71" t="n">
        <v>46037</v>
      </c>
      <c r="AK4" s="70" t="n"/>
      <c r="AL4" s="71" t="n">
        <v>46038</v>
      </c>
      <c r="AM4" s="70" t="n"/>
      <c r="AN4" s="71" t="n">
        <v>46039</v>
      </c>
      <c r="AO4" s="70" t="n"/>
      <c r="AP4" s="71" t="n">
        <v>46040</v>
      </c>
      <c r="AQ4" s="70" t="n"/>
      <c r="AR4" s="71" t="n">
        <v>46041</v>
      </c>
      <c r="AS4" s="70" t="n"/>
      <c r="AT4" s="71" t="n">
        <v>46042</v>
      </c>
      <c r="AU4" s="70" t="n"/>
      <c r="AV4" s="71" t="n">
        <v>46043</v>
      </c>
      <c r="AW4" s="70" t="n"/>
      <c r="AX4" s="71" t="n">
        <v>46044</v>
      </c>
      <c r="AY4" s="70" t="n"/>
      <c r="AZ4" s="71" t="n">
        <v>46045</v>
      </c>
      <c r="BA4" s="70" t="n"/>
      <c r="BB4" s="71" t="n">
        <v>46046</v>
      </c>
      <c r="BC4" s="70" t="n"/>
      <c r="BD4" s="71" t="n">
        <v>46047</v>
      </c>
      <c r="BE4" s="70" t="n"/>
      <c r="BF4" s="71" t="n">
        <v>46048</v>
      </c>
      <c r="BG4" s="70" t="n"/>
      <c r="BH4" s="71" t="n">
        <v>46049</v>
      </c>
      <c r="BI4" s="70" t="n"/>
      <c r="BJ4" s="71" t="n">
        <v>46050</v>
      </c>
      <c r="BK4" s="70" t="n"/>
      <c r="BL4" s="71" t="n">
        <v>46051</v>
      </c>
      <c r="BM4" s="70" t="n"/>
      <c r="BN4" s="71" t="n">
        <v>46052</v>
      </c>
      <c r="BO4" s="70" t="n"/>
      <c r="BP4" s="71" t="n">
        <v>46053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OR(AND(INDEX(PL_GIRIS,(ROW(H6)-5))&lt;&gt;"",(DATE(2026,1,1)+INT((COLUMN(H6)-8)/2))&lt;INDEX(PL_GIRIS,(ROW(H6)-5))),AND(INDEX(PL_CIKIS,(ROW(H6)-5))&lt;&gt;"",(DATE(2026,1,1)+INT((COLUMN(H6)-8)/2))&gt;INDEX(PL_CIKIS,(ROW(H6)-5))))</formula>
    </cfRule>
    <cfRule type="expression" priority="8" dxfId="8">
      <formula>OR(WEEKDAY((DATE(2026,1,1)+INT((COLUMN(H6)-8)/2)),2)=7,COUNTIF(TATIL,(DATE(2026,1,1)+INT((COLUMN(H6)-8)/2)))&gt;0)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K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</cols>
  <sheetData>
    <row r="1" ht="36" customHeight="1">
      <c r="A1" s="1" t="inlineStr">
        <is>
          <t>ŞUBAT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46054</v>
      </c>
      <c r="I3" s="67" t="n"/>
      <c r="J3" s="68" t="n">
        <v>46055</v>
      </c>
      <c r="K3" s="67" t="n"/>
      <c r="L3" s="68" t="n">
        <v>46056</v>
      </c>
      <c r="M3" s="67" t="n"/>
      <c r="N3" s="68" t="n">
        <v>46057</v>
      </c>
      <c r="O3" s="67" t="n"/>
      <c r="P3" s="68" t="n">
        <v>46058</v>
      </c>
      <c r="Q3" s="67" t="n"/>
      <c r="R3" s="68" t="n">
        <v>46059</v>
      </c>
      <c r="S3" s="67" t="n"/>
      <c r="T3" s="68" t="n">
        <v>46060</v>
      </c>
      <c r="U3" s="67" t="n"/>
      <c r="V3" s="68" t="n">
        <v>46061</v>
      </c>
      <c r="W3" s="67" t="n"/>
      <c r="X3" s="68" t="n">
        <v>46062</v>
      </c>
      <c r="Y3" s="67" t="n"/>
      <c r="Z3" s="68" t="n">
        <v>46063</v>
      </c>
      <c r="AA3" s="67" t="n"/>
      <c r="AB3" s="68" t="n">
        <v>46064</v>
      </c>
      <c r="AC3" s="67" t="n"/>
      <c r="AD3" s="68" t="n">
        <v>46065</v>
      </c>
      <c r="AE3" s="67" t="n"/>
      <c r="AF3" s="68" t="n">
        <v>46066</v>
      </c>
      <c r="AG3" s="67" t="n"/>
      <c r="AH3" s="68" t="n">
        <v>46067</v>
      </c>
      <c r="AI3" s="67" t="n"/>
      <c r="AJ3" s="68" t="n">
        <v>46068</v>
      </c>
      <c r="AK3" s="67" t="n"/>
      <c r="AL3" s="68" t="n">
        <v>46069</v>
      </c>
      <c r="AM3" s="67" t="n"/>
      <c r="AN3" s="68" t="n">
        <v>46070</v>
      </c>
      <c r="AO3" s="67" t="n"/>
      <c r="AP3" s="68" t="n">
        <v>46071</v>
      </c>
      <c r="AQ3" s="67" t="n"/>
      <c r="AR3" s="68" t="n">
        <v>46072</v>
      </c>
      <c r="AS3" s="67" t="n"/>
      <c r="AT3" s="68" t="n">
        <v>46073</v>
      </c>
      <c r="AU3" s="67" t="n"/>
      <c r="AV3" s="68" t="n">
        <v>46074</v>
      </c>
      <c r="AW3" s="67" t="n"/>
      <c r="AX3" s="68" t="n">
        <v>46075</v>
      </c>
      <c r="AY3" s="67" t="n"/>
      <c r="AZ3" s="68" t="n">
        <v>46076</v>
      </c>
      <c r="BA3" s="67" t="n"/>
      <c r="BB3" s="68" t="n">
        <v>46077</v>
      </c>
      <c r="BC3" s="67" t="n"/>
      <c r="BD3" s="68" t="n">
        <v>46078</v>
      </c>
      <c r="BE3" s="67" t="n"/>
      <c r="BF3" s="68" t="n">
        <v>46079</v>
      </c>
      <c r="BG3" s="67" t="n"/>
      <c r="BH3" s="68" t="n">
        <v>46080</v>
      </c>
      <c r="BI3" s="67" t="n"/>
      <c r="BJ3" s="68" t="n">
        <v>46081</v>
      </c>
      <c r="BK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46054</v>
      </c>
      <c r="I4" s="70" t="n"/>
      <c r="J4" s="71" t="n">
        <v>46055</v>
      </c>
      <c r="K4" s="70" t="n"/>
      <c r="L4" s="71" t="n">
        <v>46056</v>
      </c>
      <c r="M4" s="70" t="n"/>
      <c r="N4" s="71" t="n">
        <v>46057</v>
      </c>
      <c r="O4" s="70" t="n"/>
      <c r="P4" s="71" t="n">
        <v>46058</v>
      </c>
      <c r="Q4" s="70" t="n"/>
      <c r="R4" s="71" t="n">
        <v>46059</v>
      </c>
      <c r="S4" s="70" t="n"/>
      <c r="T4" s="71" t="n">
        <v>46060</v>
      </c>
      <c r="U4" s="70" t="n"/>
      <c r="V4" s="71" t="n">
        <v>46061</v>
      </c>
      <c r="W4" s="70" t="n"/>
      <c r="X4" s="71" t="n">
        <v>46062</v>
      </c>
      <c r="Y4" s="70" t="n"/>
      <c r="Z4" s="71" t="n">
        <v>46063</v>
      </c>
      <c r="AA4" s="70" t="n"/>
      <c r="AB4" s="71" t="n">
        <v>46064</v>
      </c>
      <c r="AC4" s="70" t="n"/>
      <c r="AD4" s="71" t="n">
        <v>46065</v>
      </c>
      <c r="AE4" s="70" t="n"/>
      <c r="AF4" s="71" t="n">
        <v>46066</v>
      </c>
      <c r="AG4" s="70" t="n"/>
      <c r="AH4" s="71" t="n">
        <v>46067</v>
      </c>
      <c r="AI4" s="70" t="n"/>
      <c r="AJ4" s="71" t="n">
        <v>46068</v>
      </c>
      <c r="AK4" s="70" t="n"/>
      <c r="AL4" s="71" t="n">
        <v>46069</v>
      </c>
      <c r="AM4" s="70" t="n"/>
      <c r="AN4" s="71" t="n">
        <v>46070</v>
      </c>
      <c r="AO4" s="70" t="n"/>
      <c r="AP4" s="71" t="n">
        <v>46071</v>
      </c>
      <c r="AQ4" s="70" t="n"/>
      <c r="AR4" s="71" t="n">
        <v>46072</v>
      </c>
      <c r="AS4" s="70" t="n"/>
      <c r="AT4" s="71" t="n">
        <v>46073</v>
      </c>
      <c r="AU4" s="70" t="n"/>
      <c r="AV4" s="71" t="n">
        <v>46074</v>
      </c>
      <c r="AW4" s="70" t="n"/>
      <c r="AX4" s="71" t="n">
        <v>46075</v>
      </c>
      <c r="AY4" s="70" t="n"/>
      <c r="AZ4" s="71" t="n">
        <v>46076</v>
      </c>
      <c r="BA4" s="70" t="n"/>
      <c r="BB4" s="71" t="n">
        <v>46077</v>
      </c>
      <c r="BC4" s="70" t="n"/>
      <c r="BD4" s="71" t="n">
        <v>46078</v>
      </c>
      <c r="BE4" s="70" t="n"/>
      <c r="BF4" s="71" t="n">
        <v>46079</v>
      </c>
      <c r="BG4" s="70" t="n"/>
      <c r="BH4" s="71" t="n">
        <v>46080</v>
      </c>
      <c r="BI4" s="70" t="n"/>
      <c r="BJ4" s="71" t="n">
        <v>46081</v>
      </c>
      <c r="BK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IF($B6="","",SUMPRODUCT(COUNTIF($H6:$BK6,KOD)*KOD_GUN))</f>
        <v/>
      </c>
      <c r="E6" s="76">
        <f>IF($B6="","",SUMPRODUCT(COUNTIF($H6:$BK6,KOD)*KOD_DEVAMSIZ))</f>
        <v/>
      </c>
      <c r="F6" s="76">
        <f>IF($B6="","",SUMPRODUCT(COUNTIF($H6:$BK6,KOD)*KOD_IZIN))</f>
        <v/>
      </c>
      <c r="G6" s="76">
        <f>IF($B6="","",SUM(I6,K6,M6,O6,Q6,S6,U6,W6,Y6,AA6,AC6,AE6,AG6,AI6,AK6,AM6,AO6,AQ6,AS6,AU6,AW6,AY6,BA6,BC6,BE6,BG6,BI6,BK6))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IF($B7="","",SUMPRODUCT(COUNTIF($H7:$BK7,KOD)*KOD_GUN))</f>
        <v/>
      </c>
      <c r="E7" s="76">
        <f>IF($B7="","",SUMPRODUCT(COUNTIF($H7:$BK7,KOD)*KOD_DEVAMSIZ))</f>
        <v/>
      </c>
      <c r="F7" s="76">
        <f>IF($B7="","",SUMPRODUCT(COUNTIF($H7:$BK7,KOD)*KOD_IZIN))</f>
        <v/>
      </c>
      <c r="G7" s="76">
        <f>IF($B7="","",SUM(I7,K7,M7,O7,Q7,S7,U7,W7,Y7,AA7,AC7,AE7,AG7,AI7,AK7,AM7,AO7,AQ7,AS7,AU7,AW7,AY7,BA7,BC7,BE7,BG7,BI7,BK7))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IF($B8="","",SUMPRODUCT(COUNTIF($H8:$BK8,KOD)*KOD_GUN))</f>
        <v/>
      </c>
      <c r="E8" s="76">
        <f>IF($B8="","",SUMPRODUCT(COUNTIF($H8:$BK8,KOD)*KOD_DEVAMSIZ))</f>
        <v/>
      </c>
      <c r="F8" s="76">
        <f>IF($B8="","",SUMPRODUCT(COUNTIF($H8:$BK8,KOD)*KOD_IZIN))</f>
        <v/>
      </c>
      <c r="G8" s="76">
        <f>IF($B8="","",SUM(I8,K8,M8,O8,Q8,S8,U8,W8,Y8,AA8,AC8,AE8,AG8,AI8,AK8,AM8,AO8,AQ8,AS8,AU8,AW8,AY8,BA8,BC8,BE8,BG8,BI8,BK8))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IF($B9="","",SUMPRODUCT(COUNTIF($H9:$BK9,KOD)*KOD_GUN))</f>
        <v/>
      </c>
      <c r="E9" s="76">
        <f>IF($B9="","",SUMPRODUCT(COUNTIF($H9:$BK9,KOD)*KOD_DEVAMSIZ))</f>
        <v/>
      </c>
      <c r="F9" s="76">
        <f>IF($B9="","",SUMPRODUCT(COUNTIF($H9:$BK9,KOD)*KOD_IZIN))</f>
        <v/>
      </c>
      <c r="G9" s="76">
        <f>IF($B9="","",SUM(I9,K9,M9,O9,Q9,S9,U9,W9,Y9,AA9,AC9,AE9,AG9,AI9,AK9,AM9,AO9,AQ9,AS9,AU9,AW9,AY9,BA9,BC9,BE9,BG9,BI9,BK9))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IF($B10="","",SUMPRODUCT(COUNTIF($H10:$BK10,KOD)*KOD_GUN))</f>
        <v/>
      </c>
      <c r="E10" s="76">
        <f>IF($B10="","",SUMPRODUCT(COUNTIF($H10:$BK10,KOD)*KOD_DEVAMSIZ))</f>
        <v/>
      </c>
      <c r="F10" s="76">
        <f>IF($B10="","",SUMPRODUCT(COUNTIF($H10:$BK10,KOD)*KOD_IZIN))</f>
        <v/>
      </c>
      <c r="G10" s="76">
        <f>IF($B10="","",SUM(I10,K10,M10,O10,Q10,S10,U10,W10,Y10,AA10,AC10,AE10,AG10,AI10,AK10,AM10,AO10,AQ10,AS10,AU10,AW10,AY10,BA10,BC10,BE10,BG10,BI10,BK10))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IF($B11="","",SUMPRODUCT(COUNTIF($H11:$BK11,KOD)*KOD_GUN))</f>
        <v/>
      </c>
      <c r="E11" s="76">
        <f>IF($B11="","",SUMPRODUCT(COUNTIF($H11:$BK11,KOD)*KOD_DEVAMSIZ))</f>
        <v/>
      </c>
      <c r="F11" s="76">
        <f>IF($B11="","",SUMPRODUCT(COUNTIF($H11:$BK11,KOD)*KOD_IZIN))</f>
        <v/>
      </c>
      <c r="G11" s="76">
        <f>IF($B11="","",SUM(I11,K11,M11,O11,Q11,S11,U11,W11,Y11,AA11,AC11,AE11,AG11,AI11,AK11,AM11,AO11,AQ11,AS11,AU11,AW11,AY11,BA11,BC11,BE11,BG11,BI11,BK11))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IF($B12="","",SUMPRODUCT(COUNTIF($H12:$BK12,KOD)*KOD_GUN))</f>
        <v/>
      </c>
      <c r="E12" s="76">
        <f>IF($B12="","",SUMPRODUCT(COUNTIF($H12:$BK12,KOD)*KOD_DEVAMSIZ))</f>
        <v/>
      </c>
      <c r="F12" s="76">
        <f>IF($B12="","",SUMPRODUCT(COUNTIF($H12:$BK12,KOD)*KOD_IZIN))</f>
        <v/>
      </c>
      <c r="G12" s="76">
        <f>IF($B12="","",SUM(I12,K12,M12,O12,Q12,S12,U12,W12,Y12,AA12,AC12,AE12,AG12,AI12,AK12,AM12,AO12,AQ12,AS12,AU12,AW12,AY12,BA12,BC12,BE12,BG12,BI12,BK12))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IF($B13="","",SUMPRODUCT(COUNTIF($H13:$BK13,KOD)*KOD_GUN))</f>
        <v/>
      </c>
      <c r="E13" s="76">
        <f>IF($B13="","",SUMPRODUCT(COUNTIF($H13:$BK13,KOD)*KOD_DEVAMSIZ))</f>
        <v/>
      </c>
      <c r="F13" s="76">
        <f>IF($B13="","",SUMPRODUCT(COUNTIF($H13:$BK13,KOD)*KOD_IZIN))</f>
        <v/>
      </c>
      <c r="G13" s="76">
        <f>IF($B13="","",SUM(I13,K13,M13,O13,Q13,S13,U13,W13,Y13,AA13,AC13,AE13,AG13,AI13,AK13,AM13,AO13,AQ13,AS13,AU13,AW13,AY13,BA13,BC13,BE13,BG13,BI13,BK13))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IF($B14="","",SUMPRODUCT(COUNTIF($H14:$BK14,KOD)*KOD_GUN))</f>
        <v/>
      </c>
      <c r="E14" s="76">
        <f>IF($B14="","",SUMPRODUCT(COUNTIF($H14:$BK14,KOD)*KOD_DEVAMSIZ))</f>
        <v/>
      </c>
      <c r="F14" s="76">
        <f>IF($B14="","",SUMPRODUCT(COUNTIF($H14:$BK14,KOD)*KOD_IZIN))</f>
        <v/>
      </c>
      <c r="G14" s="76">
        <f>IF($B14="","",SUM(I14,K14,M14,O14,Q14,S14,U14,W14,Y14,AA14,AC14,AE14,AG14,AI14,AK14,AM14,AO14,AQ14,AS14,AU14,AW14,AY14,BA14,BC14,BE14,BG14,BI14,BK14))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IF($B15="","",SUMPRODUCT(COUNTIF($H15:$BK15,KOD)*KOD_GUN))</f>
        <v/>
      </c>
      <c r="E15" s="76">
        <f>IF($B15="","",SUMPRODUCT(COUNTIF($H15:$BK15,KOD)*KOD_DEVAMSIZ))</f>
        <v/>
      </c>
      <c r="F15" s="76">
        <f>IF($B15="","",SUMPRODUCT(COUNTIF($H15:$BK15,KOD)*KOD_IZIN))</f>
        <v/>
      </c>
      <c r="G15" s="76">
        <f>IF($B15="","",SUM(I15,K15,M15,O15,Q15,S15,U15,W15,Y15,AA15,AC15,AE15,AG15,AI15,AK15,AM15,AO15,AQ15,AS15,AU15,AW15,AY15,BA15,BC15,BE15,BG15,BI15,BK15))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IF($B16="","",SUMPRODUCT(COUNTIF($H16:$BK16,KOD)*KOD_GUN))</f>
        <v/>
      </c>
      <c r="E16" s="76">
        <f>IF($B16="","",SUMPRODUCT(COUNTIF($H16:$BK16,KOD)*KOD_DEVAMSIZ))</f>
        <v/>
      </c>
      <c r="F16" s="76">
        <f>IF($B16="","",SUMPRODUCT(COUNTIF($H16:$BK16,KOD)*KOD_IZIN))</f>
        <v/>
      </c>
      <c r="G16" s="76">
        <f>IF($B16="","",SUM(I16,K16,M16,O16,Q16,S16,U16,W16,Y16,AA16,AC16,AE16,AG16,AI16,AK16,AM16,AO16,AQ16,AS16,AU16,AW16,AY16,BA16,BC16,BE16,BG16,BI16,BK16))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IF($B17="","",SUMPRODUCT(COUNTIF($H17:$BK17,KOD)*KOD_GUN))</f>
        <v/>
      </c>
      <c r="E17" s="76">
        <f>IF($B17="","",SUMPRODUCT(COUNTIF($H17:$BK17,KOD)*KOD_DEVAMSIZ))</f>
        <v/>
      </c>
      <c r="F17" s="76">
        <f>IF($B17="","",SUMPRODUCT(COUNTIF($H17:$BK17,KOD)*KOD_IZIN))</f>
        <v/>
      </c>
      <c r="G17" s="76">
        <f>IF($B17="","",SUM(I17,K17,M17,O17,Q17,S17,U17,W17,Y17,AA17,AC17,AE17,AG17,AI17,AK17,AM17,AO17,AQ17,AS17,AU17,AW17,AY17,BA17,BC17,BE17,BG17,BI17,BK17))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IF($B18="","",SUMPRODUCT(COUNTIF($H18:$BK18,KOD)*KOD_GUN))</f>
        <v/>
      </c>
      <c r="E18" s="76">
        <f>IF($B18="","",SUMPRODUCT(COUNTIF($H18:$BK18,KOD)*KOD_DEVAMSIZ))</f>
        <v/>
      </c>
      <c r="F18" s="76">
        <f>IF($B18="","",SUMPRODUCT(COUNTIF($H18:$BK18,KOD)*KOD_IZIN))</f>
        <v/>
      </c>
      <c r="G18" s="76">
        <f>IF($B18="","",SUM(I18,K18,M18,O18,Q18,S18,U18,W18,Y18,AA18,AC18,AE18,AG18,AI18,AK18,AM18,AO18,AQ18,AS18,AU18,AW18,AY18,BA18,BC18,BE18,BG18,BI18,BK18))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IF($B19="","",SUMPRODUCT(COUNTIF($H19:$BK19,KOD)*KOD_GUN))</f>
        <v/>
      </c>
      <c r="E19" s="76">
        <f>IF($B19="","",SUMPRODUCT(COUNTIF($H19:$BK19,KOD)*KOD_DEVAMSIZ))</f>
        <v/>
      </c>
      <c r="F19" s="76">
        <f>IF($B19="","",SUMPRODUCT(COUNTIF($H19:$BK19,KOD)*KOD_IZIN))</f>
        <v/>
      </c>
      <c r="G19" s="76">
        <f>IF($B19="","",SUM(I19,K19,M19,O19,Q19,S19,U19,W19,Y19,AA19,AC19,AE19,AG19,AI19,AK19,AM19,AO19,AQ19,AS19,AU19,AW19,AY19,BA19,BC19,BE19,BG19,BI19,BK19))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IF($B20="","",SUMPRODUCT(COUNTIF($H20:$BK20,KOD)*KOD_GUN))</f>
        <v/>
      </c>
      <c r="E20" s="76">
        <f>IF($B20="","",SUMPRODUCT(COUNTIF($H20:$BK20,KOD)*KOD_DEVAMSIZ))</f>
        <v/>
      </c>
      <c r="F20" s="76">
        <f>IF($B20="","",SUMPRODUCT(COUNTIF($H20:$BK20,KOD)*KOD_IZIN))</f>
        <v/>
      </c>
      <c r="G20" s="76">
        <f>IF($B20="","",SUM(I20,K20,M20,O20,Q20,S20,U20,W20,Y20,AA20,AC20,AE20,AG20,AI20,AK20,AM20,AO20,AQ20,AS20,AU20,AW20,AY20,BA20,BC20,BE20,BG20,BI20,BK20))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IF($B21="","",SUMPRODUCT(COUNTIF($H21:$BK21,KOD)*KOD_GUN))</f>
        <v/>
      </c>
      <c r="E21" s="76">
        <f>IF($B21="","",SUMPRODUCT(COUNTIF($H21:$BK21,KOD)*KOD_DEVAMSIZ))</f>
        <v/>
      </c>
      <c r="F21" s="76">
        <f>IF($B21="","",SUMPRODUCT(COUNTIF($H21:$BK21,KOD)*KOD_IZIN))</f>
        <v/>
      </c>
      <c r="G21" s="76">
        <f>IF($B21="","",SUM(I21,K21,M21,O21,Q21,S21,U21,W21,Y21,AA21,AC21,AE21,AG21,AI21,AK21,AM21,AO21,AQ21,AS21,AU21,AW21,AY21,BA21,BC21,BE21,BG21,BI21,BK21))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IF($B22="","",SUMPRODUCT(COUNTIF($H22:$BK22,KOD)*KOD_GUN))</f>
        <v/>
      </c>
      <c r="E22" s="76">
        <f>IF($B22="","",SUMPRODUCT(COUNTIF($H22:$BK22,KOD)*KOD_DEVAMSIZ))</f>
        <v/>
      </c>
      <c r="F22" s="76">
        <f>IF($B22="","",SUMPRODUCT(COUNTIF($H22:$BK22,KOD)*KOD_IZIN))</f>
        <v/>
      </c>
      <c r="G22" s="76">
        <f>IF($B22="","",SUM(I22,K22,M22,O22,Q22,S22,U22,W22,Y22,AA22,AC22,AE22,AG22,AI22,AK22,AM22,AO22,AQ22,AS22,AU22,AW22,AY22,BA22,BC22,BE22,BG22,BI22,BK22))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IF($B23="","",SUMPRODUCT(COUNTIF($H23:$BK23,KOD)*KOD_GUN))</f>
        <v/>
      </c>
      <c r="E23" s="76">
        <f>IF($B23="","",SUMPRODUCT(COUNTIF($H23:$BK23,KOD)*KOD_DEVAMSIZ))</f>
        <v/>
      </c>
      <c r="F23" s="76">
        <f>IF($B23="","",SUMPRODUCT(COUNTIF($H23:$BK23,KOD)*KOD_IZIN))</f>
        <v/>
      </c>
      <c r="G23" s="76">
        <f>IF($B23="","",SUM(I23,K23,M23,O23,Q23,S23,U23,W23,Y23,AA23,AC23,AE23,AG23,AI23,AK23,AM23,AO23,AQ23,AS23,AU23,AW23,AY23,BA23,BC23,BE23,BG23,BI23,BK23))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IF($B24="","",SUMPRODUCT(COUNTIF($H24:$BK24,KOD)*KOD_GUN))</f>
        <v/>
      </c>
      <c r="E24" s="76">
        <f>IF($B24="","",SUMPRODUCT(COUNTIF($H24:$BK24,KOD)*KOD_DEVAMSIZ))</f>
        <v/>
      </c>
      <c r="F24" s="76">
        <f>IF($B24="","",SUMPRODUCT(COUNTIF($H24:$BK24,KOD)*KOD_IZIN))</f>
        <v/>
      </c>
      <c r="G24" s="76">
        <f>IF($B24="","",SUM(I24,K24,M24,O24,Q24,S24,U24,W24,Y24,AA24,AC24,AE24,AG24,AI24,AK24,AM24,AO24,AQ24,AS24,AU24,AW24,AY24,BA24,BC24,BE24,BG24,BI24,BK24))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IF($B25="","",SUMPRODUCT(COUNTIF($H25:$BK25,KOD)*KOD_GUN))</f>
        <v/>
      </c>
      <c r="E25" s="76">
        <f>IF($B25="","",SUMPRODUCT(COUNTIF($H25:$BK25,KOD)*KOD_DEVAMSIZ))</f>
        <v/>
      </c>
      <c r="F25" s="76">
        <f>IF($B25="","",SUMPRODUCT(COUNTIF($H25:$BK25,KOD)*KOD_IZIN))</f>
        <v/>
      </c>
      <c r="G25" s="76">
        <f>IF($B25="","",SUM(I25,K25,M25,O25,Q25,S25,U25,W25,Y25,AA25,AC25,AE25,AG25,AI25,AK25,AM25,AO25,AQ25,AS25,AU25,AW25,AY25,BA25,BC25,BE25,BG25,BI25,BK25))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IF($B26="","",SUMPRODUCT(COUNTIF($H26:$BK26,KOD)*KOD_GUN))</f>
        <v/>
      </c>
      <c r="E26" s="76">
        <f>IF($B26="","",SUMPRODUCT(COUNTIF($H26:$BK26,KOD)*KOD_DEVAMSIZ))</f>
        <v/>
      </c>
      <c r="F26" s="76">
        <f>IF($B26="","",SUMPRODUCT(COUNTIF($H26:$BK26,KOD)*KOD_IZIN))</f>
        <v/>
      </c>
      <c r="G26" s="76">
        <f>IF($B26="","",SUM(I26,K26,M26,O26,Q26,S26,U26,W26,Y26,AA26,AC26,AE26,AG26,AI26,AK26,AM26,AO26,AQ26,AS26,AU26,AW26,AY26,BA26,BC26,BE26,BG26,BI26,BK26))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IF($B27="","",SUMPRODUCT(COUNTIF($H27:$BK27,KOD)*KOD_GUN))</f>
        <v/>
      </c>
      <c r="E27" s="76">
        <f>IF($B27="","",SUMPRODUCT(COUNTIF($H27:$BK27,KOD)*KOD_DEVAMSIZ))</f>
        <v/>
      </c>
      <c r="F27" s="76">
        <f>IF($B27="","",SUMPRODUCT(COUNTIF($H27:$BK27,KOD)*KOD_IZIN))</f>
        <v/>
      </c>
      <c r="G27" s="76">
        <f>IF($B27="","",SUM(I27,K27,M27,O27,Q27,S27,U27,W27,Y27,AA27,AC27,AE27,AG27,AI27,AK27,AM27,AO27,AQ27,AS27,AU27,AW27,AY27,BA27,BC27,BE27,BG27,BI27,BK27))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IF($B28="","",SUMPRODUCT(COUNTIF($H28:$BK28,KOD)*KOD_GUN))</f>
        <v/>
      </c>
      <c r="E28" s="76">
        <f>IF($B28="","",SUMPRODUCT(COUNTIF($H28:$BK28,KOD)*KOD_DEVAMSIZ))</f>
        <v/>
      </c>
      <c r="F28" s="76">
        <f>IF($B28="","",SUMPRODUCT(COUNTIF($H28:$BK28,KOD)*KOD_IZIN))</f>
        <v/>
      </c>
      <c r="G28" s="76">
        <f>IF($B28="","",SUM(I28,K28,M28,O28,Q28,S28,U28,W28,Y28,AA28,AC28,AE28,AG28,AI28,AK28,AM28,AO28,AQ28,AS28,AU28,AW28,AY28,BA28,BC28,BE28,BG28,BI28,BK28))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IF($B29="","",SUMPRODUCT(COUNTIF($H29:$BK29,KOD)*KOD_GUN))</f>
        <v/>
      </c>
      <c r="E29" s="76">
        <f>IF($B29="","",SUMPRODUCT(COUNTIF($H29:$BK29,KOD)*KOD_DEVAMSIZ))</f>
        <v/>
      </c>
      <c r="F29" s="76">
        <f>IF($B29="","",SUMPRODUCT(COUNTIF($H29:$BK29,KOD)*KOD_IZIN))</f>
        <v/>
      </c>
      <c r="G29" s="76">
        <f>IF($B29="","",SUM(I29,K29,M29,O29,Q29,S29,U29,W29,Y29,AA29,AC29,AE29,AG29,AI29,AK29,AM29,AO29,AQ29,AS29,AU29,AW29,AY29,BA29,BC29,BE29,BG29,BI29,BK29))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IF($B30="","",SUMPRODUCT(COUNTIF($H30:$BK30,KOD)*KOD_GUN))</f>
        <v/>
      </c>
      <c r="E30" s="76">
        <f>IF($B30="","",SUMPRODUCT(COUNTIF($H30:$BK30,KOD)*KOD_DEVAMSIZ))</f>
        <v/>
      </c>
      <c r="F30" s="76">
        <f>IF($B30="","",SUMPRODUCT(COUNTIF($H30:$BK30,KOD)*KOD_IZIN))</f>
        <v/>
      </c>
      <c r="G30" s="76">
        <f>IF($B30="","",SUM(I30,K30,M30,O30,Q30,S30,U30,W30,Y30,AA30,AC30,AE30,AG30,AI30,AK30,AM30,AO30,AQ30,AS30,AU30,AW30,AY30,BA30,BC30,BE30,BG30,BI30,BK30))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</row>
  </sheetData>
  <mergeCells count="133">
    <mergeCell ref="AD3:AE3"/>
    <mergeCell ref="AN3:AO3"/>
    <mergeCell ref="AP3:AQ3"/>
    <mergeCell ref="L3:M3"/>
    <mergeCell ref="AT3:AU3"/>
    <mergeCell ref="BD3:BE3"/>
    <mergeCell ref="N3:O3"/>
    <mergeCell ref="AV3:AW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P32:Q32"/>
    <mergeCell ref="R32:S32"/>
    <mergeCell ref="J31:K31"/>
    <mergeCell ref="L31:M31"/>
    <mergeCell ref="AD32:AE32"/>
    <mergeCell ref="AT31:AU31"/>
    <mergeCell ref="N31:O31"/>
    <mergeCell ref="AF32:AG32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X32:Y32"/>
    <mergeCell ref="H31:I31"/>
    <mergeCell ref="Z32:AA32"/>
    <mergeCell ref="BH32:BI32"/>
    <mergeCell ref="AB32:AC32"/>
    <mergeCell ref="AF4:AG4"/>
    <mergeCell ref="AH4:AI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A1:BK1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R3:S3"/>
    <mergeCell ref="V32:W32"/>
    <mergeCell ref="D32:G32"/>
    <mergeCell ref="D3:D5"/>
    <mergeCell ref="AR3:AS3"/>
    <mergeCell ref="AB3:AC3"/>
  </mergeCells>
  <conditionalFormatting sqref="H6:BK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OR(AND(INDEX(PL_GIRIS,(ROW(H6)-5))&lt;&gt;"",(DATE(2026,2,1)+INT((COLUMN(H6)-8)/2))&lt;INDEX(PL_GIRIS,(ROW(H6)-5))),AND(INDEX(PL_CIKIS,(ROW(H6)-5))&lt;&gt;"",(DATE(2026,2,1)+INT((COLUMN(H6)-8)/2))&gt;INDEX(PL_CIKIS,(ROW(H6)-5))))</formula>
    </cfRule>
    <cfRule type="expression" priority="8" dxfId="8">
      <formula>OR(WEEKDAY((DATE(2026,2,1)+INT((COLUMN(H6)-8)/2)),2)=7,COUNTIF(TATIL,(DATE(2026,2,1)+INT((COLUMN(H6)-8)/2)))&gt;0)</formula>
    </cfRule>
  </conditionalFormatting>
  <conditionalFormatting sqref="H3:BK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MART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46082</v>
      </c>
      <c r="I3" s="67" t="n"/>
      <c r="J3" s="68" t="n">
        <v>46083</v>
      </c>
      <c r="K3" s="67" t="n"/>
      <c r="L3" s="68" t="n">
        <v>46084</v>
      </c>
      <c r="M3" s="67" t="n"/>
      <c r="N3" s="68" t="n">
        <v>46085</v>
      </c>
      <c r="O3" s="67" t="n"/>
      <c r="P3" s="68" t="n">
        <v>46086</v>
      </c>
      <c r="Q3" s="67" t="n"/>
      <c r="R3" s="68" t="n">
        <v>46087</v>
      </c>
      <c r="S3" s="67" t="n"/>
      <c r="T3" s="68" t="n">
        <v>46088</v>
      </c>
      <c r="U3" s="67" t="n"/>
      <c r="V3" s="68" t="n">
        <v>46089</v>
      </c>
      <c r="W3" s="67" t="n"/>
      <c r="X3" s="68" t="n">
        <v>46090</v>
      </c>
      <c r="Y3" s="67" t="n"/>
      <c r="Z3" s="68" t="n">
        <v>46091</v>
      </c>
      <c r="AA3" s="67" t="n"/>
      <c r="AB3" s="68" t="n">
        <v>46092</v>
      </c>
      <c r="AC3" s="67" t="n"/>
      <c r="AD3" s="68" t="n">
        <v>46093</v>
      </c>
      <c r="AE3" s="67" t="n"/>
      <c r="AF3" s="68" t="n">
        <v>46094</v>
      </c>
      <c r="AG3" s="67" t="n"/>
      <c r="AH3" s="68" t="n">
        <v>46095</v>
      </c>
      <c r="AI3" s="67" t="n"/>
      <c r="AJ3" s="68" t="n">
        <v>46096</v>
      </c>
      <c r="AK3" s="67" t="n"/>
      <c r="AL3" s="68" t="n">
        <v>46097</v>
      </c>
      <c r="AM3" s="67" t="n"/>
      <c r="AN3" s="68" t="n">
        <v>46098</v>
      </c>
      <c r="AO3" s="67" t="n"/>
      <c r="AP3" s="68" t="n">
        <v>46099</v>
      </c>
      <c r="AQ3" s="67" t="n"/>
      <c r="AR3" s="68" t="n">
        <v>46100</v>
      </c>
      <c r="AS3" s="67" t="n"/>
      <c r="AT3" s="68" t="n">
        <v>46101</v>
      </c>
      <c r="AU3" s="67" t="n"/>
      <c r="AV3" s="68" t="n">
        <v>46102</v>
      </c>
      <c r="AW3" s="67" t="n"/>
      <c r="AX3" s="68" t="n">
        <v>46103</v>
      </c>
      <c r="AY3" s="67" t="n"/>
      <c r="AZ3" s="68" t="n">
        <v>46104</v>
      </c>
      <c r="BA3" s="67" t="n"/>
      <c r="BB3" s="68" t="n">
        <v>46105</v>
      </c>
      <c r="BC3" s="67" t="n"/>
      <c r="BD3" s="68" t="n">
        <v>46106</v>
      </c>
      <c r="BE3" s="67" t="n"/>
      <c r="BF3" s="68" t="n">
        <v>46107</v>
      </c>
      <c r="BG3" s="67" t="n"/>
      <c r="BH3" s="68" t="n">
        <v>46108</v>
      </c>
      <c r="BI3" s="67" t="n"/>
      <c r="BJ3" s="68" t="n">
        <v>46109</v>
      </c>
      <c r="BK3" s="67" t="n"/>
      <c r="BL3" s="68" t="n">
        <v>46110</v>
      </c>
      <c r="BM3" s="67" t="n"/>
      <c r="BN3" s="68" t="n">
        <v>46111</v>
      </c>
      <c r="BO3" s="67" t="n"/>
      <c r="BP3" s="68" t="n">
        <v>46112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46082</v>
      </c>
      <c r="I4" s="70" t="n"/>
      <c r="J4" s="71" t="n">
        <v>46083</v>
      </c>
      <c r="K4" s="70" t="n"/>
      <c r="L4" s="71" t="n">
        <v>46084</v>
      </c>
      <c r="M4" s="70" t="n"/>
      <c r="N4" s="71" t="n">
        <v>46085</v>
      </c>
      <c r="O4" s="70" t="n"/>
      <c r="P4" s="71" t="n">
        <v>46086</v>
      </c>
      <c r="Q4" s="70" t="n"/>
      <c r="R4" s="71" t="n">
        <v>46087</v>
      </c>
      <c r="S4" s="70" t="n"/>
      <c r="T4" s="71" t="n">
        <v>46088</v>
      </c>
      <c r="U4" s="70" t="n"/>
      <c r="V4" s="71" t="n">
        <v>46089</v>
      </c>
      <c r="W4" s="70" t="n"/>
      <c r="X4" s="71" t="n">
        <v>46090</v>
      </c>
      <c r="Y4" s="70" t="n"/>
      <c r="Z4" s="71" t="n">
        <v>46091</v>
      </c>
      <c r="AA4" s="70" t="n"/>
      <c r="AB4" s="71" t="n">
        <v>46092</v>
      </c>
      <c r="AC4" s="70" t="n"/>
      <c r="AD4" s="71" t="n">
        <v>46093</v>
      </c>
      <c r="AE4" s="70" t="n"/>
      <c r="AF4" s="71" t="n">
        <v>46094</v>
      </c>
      <c r="AG4" s="70" t="n"/>
      <c r="AH4" s="71" t="n">
        <v>46095</v>
      </c>
      <c r="AI4" s="70" t="n"/>
      <c r="AJ4" s="71" t="n">
        <v>46096</v>
      </c>
      <c r="AK4" s="70" t="n"/>
      <c r="AL4" s="71" t="n">
        <v>46097</v>
      </c>
      <c r="AM4" s="70" t="n"/>
      <c r="AN4" s="71" t="n">
        <v>46098</v>
      </c>
      <c r="AO4" s="70" t="n"/>
      <c r="AP4" s="71" t="n">
        <v>46099</v>
      </c>
      <c r="AQ4" s="70" t="n"/>
      <c r="AR4" s="71" t="n">
        <v>46100</v>
      </c>
      <c r="AS4" s="70" t="n"/>
      <c r="AT4" s="71" t="n">
        <v>46101</v>
      </c>
      <c r="AU4" s="70" t="n"/>
      <c r="AV4" s="71" t="n">
        <v>46102</v>
      </c>
      <c r="AW4" s="70" t="n"/>
      <c r="AX4" s="71" t="n">
        <v>46103</v>
      </c>
      <c r="AY4" s="70" t="n"/>
      <c r="AZ4" s="71" t="n">
        <v>46104</v>
      </c>
      <c r="BA4" s="70" t="n"/>
      <c r="BB4" s="71" t="n">
        <v>46105</v>
      </c>
      <c r="BC4" s="70" t="n"/>
      <c r="BD4" s="71" t="n">
        <v>46106</v>
      </c>
      <c r="BE4" s="70" t="n"/>
      <c r="BF4" s="71" t="n">
        <v>46107</v>
      </c>
      <c r="BG4" s="70" t="n"/>
      <c r="BH4" s="71" t="n">
        <v>46108</v>
      </c>
      <c r="BI4" s="70" t="n"/>
      <c r="BJ4" s="71" t="n">
        <v>46109</v>
      </c>
      <c r="BK4" s="70" t="n"/>
      <c r="BL4" s="71" t="n">
        <v>46110</v>
      </c>
      <c r="BM4" s="70" t="n"/>
      <c r="BN4" s="71" t="n">
        <v>46111</v>
      </c>
      <c r="BO4" s="70" t="n"/>
      <c r="BP4" s="71" t="n">
        <v>46112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OR(AND(INDEX(PL_GIRIS,(ROW(H6)-5))&lt;&gt;"",(DATE(2026,3,1)+INT((COLUMN(H6)-8)/2))&lt;INDEX(PL_GIRIS,(ROW(H6)-5))),AND(INDEX(PL_CIKIS,(ROW(H6)-5))&lt;&gt;"",(DATE(2026,3,1)+INT((COLUMN(H6)-8)/2))&gt;INDEX(PL_CIKIS,(ROW(H6)-5))))</formula>
    </cfRule>
    <cfRule type="expression" priority="8" dxfId="8">
      <formula>OR(WEEKDAY((DATE(2026,3,1)+INT((COLUMN(H6)-8)/2)),2)=7,COUNTIF(TATIL,(DATE(2026,3,1)+INT((COLUMN(H6)-8)/2)))&gt;0)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O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</cols>
  <sheetData>
    <row r="1" ht="36" customHeight="1">
      <c r="A1" s="1" t="inlineStr">
        <is>
          <t>NISAN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46113</v>
      </c>
      <c r="I3" s="67" t="n"/>
      <c r="J3" s="68" t="n">
        <v>46114</v>
      </c>
      <c r="K3" s="67" t="n"/>
      <c r="L3" s="68" t="n">
        <v>46115</v>
      </c>
      <c r="M3" s="67" t="n"/>
      <c r="N3" s="68" t="n">
        <v>46116</v>
      </c>
      <c r="O3" s="67" t="n"/>
      <c r="P3" s="68" t="n">
        <v>46117</v>
      </c>
      <c r="Q3" s="67" t="n"/>
      <c r="R3" s="68" t="n">
        <v>46118</v>
      </c>
      <c r="S3" s="67" t="n"/>
      <c r="T3" s="68" t="n">
        <v>46119</v>
      </c>
      <c r="U3" s="67" t="n"/>
      <c r="V3" s="68" t="n">
        <v>46120</v>
      </c>
      <c r="W3" s="67" t="n"/>
      <c r="X3" s="68" t="n">
        <v>46121</v>
      </c>
      <c r="Y3" s="67" t="n"/>
      <c r="Z3" s="68" t="n">
        <v>46122</v>
      </c>
      <c r="AA3" s="67" t="n"/>
      <c r="AB3" s="68" t="n">
        <v>46123</v>
      </c>
      <c r="AC3" s="67" t="n"/>
      <c r="AD3" s="68" t="n">
        <v>46124</v>
      </c>
      <c r="AE3" s="67" t="n"/>
      <c r="AF3" s="68" t="n">
        <v>46125</v>
      </c>
      <c r="AG3" s="67" t="n"/>
      <c r="AH3" s="68" t="n">
        <v>46126</v>
      </c>
      <c r="AI3" s="67" t="n"/>
      <c r="AJ3" s="68" t="n">
        <v>46127</v>
      </c>
      <c r="AK3" s="67" t="n"/>
      <c r="AL3" s="68" t="n">
        <v>46128</v>
      </c>
      <c r="AM3" s="67" t="n"/>
      <c r="AN3" s="68" t="n">
        <v>46129</v>
      </c>
      <c r="AO3" s="67" t="n"/>
      <c r="AP3" s="68" t="n">
        <v>46130</v>
      </c>
      <c r="AQ3" s="67" t="n"/>
      <c r="AR3" s="68" t="n">
        <v>46131</v>
      </c>
      <c r="AS3" s="67" t="n"/>
      <c r="AT3" s="68" t="n">
        <v>46132</v>
      </c>
      <c r="AU3" s="67" t="n"/>
      <c r="AV3" s="68" t="n">
        <v>46133</v>
      </c>
      <c r="AW3" s="67" t="n"/>
      <c r="AX3" s="68" t="n">
        <v>46134</v>
      </c>
      <c r="AY3" s="67" t="n"/>
      <c r="AZ3" s="68" t="n">
        <v>46135</v>
      </c>
      <c r="BA3" s="67" t="n"/>
      <c r="BB3" s="68" t="n">
        <v>46136</v>
      </c>
      <c r="BC3" s="67" t="n"/>
      <c r="BD3" s="68" t="n">
        <v>46137</v>
      </c>
      <c r="BE3" s="67" t="n"/>
      <c r="BF3" s="68" t="n">
        <v>46138</v>
      </c>
      <c r="BG3" s="67" t="n"/>
      <c r="BH3" s="68" t="n">
        <v>46139</v>
      </c>
      <c r="BI3" s="67" t="n"/>
      <c r="BJ3" s="68" t="n">
        <v>46140</v>
      </c>
      <c r="BK3" s="67" t="n"/>
      <c r="BL3" s="68" t="n">
        <v>46141</v>
      </c>
      <c r="BM3" s="67" t="n"/>
      <c r="BN3" s="68" t="n">
        <v>46142</v>
      </c>
      <c r="BO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46113</v>
      </c>
      <c r="I4" s="70" t="n"/>
      <c r="J4" s="71" t="n">
        <v>46114</v>
      </c>
      <c r="K4" s="70" t="n"/>
      <c r="L4" s="71" t="n">
        <v>46115</v>
      </c>
      <c r="M4" s="70" t="n"/>
      <c r="N4" s="71" t="n">
        <v>46116</v>
      </c>
      <c r="O4" s="70" t="n"/>
      <c r="P4" s="71" t="n">
        <v>46117</v>
      </c>
      <c r="Q4" s="70" t="n"/>
      <c r="R4" s="71" t="n">
        <v>46118</v>
      </c>
      <c r="S4" s="70" t="n"/>
      <c r="T4" s="71" t="n">
        <v>46119</v>
      </c>
      <c r="U4" s="70" t="n"/>
      <c r="V4" s="71" t="n">
        <v>46120</v>
      </c>
      <c r="W4" s="70" t="n"/>
      <c r="X4" s="71" t="n">
        <v>46121</v>
      </c>
      <c r="Y4" s="70" t="n"/>
      <c r="Z4" s="71" t="n">
        <v>46122</v>
      </c>
      <c r="AA4" s="70" t="n"/>
      <c r="AB4" s="71" t="n">
        <v>46123</v>
      </c>
      <c r="AC4" s="70" t="n"/>
      <c r="AD4" s="71" t="n">
        <v>46124</v>
      </c>
      <c r="AE4" s="70" t="n"/>
      <c r="AF4" s="71" t="n">
        <v>46125</v>
      </c>
      <c r="AG4" s="70" t="n"/>
      <c r="AH4" s="71" t="n">
        <v>46126</v>
      </c>
      <c r="AI4" s="70" t="n"/>
      <c r="AJ4" s="71" t="n">
        <v>46127</v>
      </c>
      <c r="AK4" s="70" t="n"/>
      <c r="AL4" s="71" t="n">
        <v>46128</v>
      </c>
      <c r="AM4" s="70" t="n"/>
      <c r="AN4" s="71" t="n">
        <v>46129</v>
      </c>
      <c r="AO4" s="70" t="n"/>
      <c r="AP4" s="71" t="n">
        <v>46130</v>
      </c>
      <c r="AQ4" s="70" t="n"/>
      <c r="AR4" s="71" t="n">
        <v>46131</v>
      </c>
      <c r="AS4" s="70" t="n"/>
      <c r="AT4" s="71" t="n">
        <v>46132</v>
      </c>
      <c r="AU4" s="70" t="n"/>
      <c r="AV4" s="71" t="n">
        <v>46133</v>
      </c>
      <c r="AW4" s="70" t="n"/>
      <c r="AX4" s="71" t="n">
        <v>46134</v>
      </c>
      <c r="AY4" s="70" t="n"/>
      <c r="AZ4" s="71" t="n">
        <v>46135</v>
      </c>
      <c r="BA4" s="70" t="n"/>
      <c r="BB4" s="71" t="n">
        <v>46136</v>
      </c>
      <c r="BC4" s="70" t="n"/>
      <c r="BD4" s="71" t="n">
        <v>46137</v>
      </c>
      <c r="BE4" s="70" t="n"/>
      <c r="BF4" s="71" t="n">
        <v>46138</v>
      </c>
      <c r="BG4" s="70" t="n"/>
      <c r="BH4" s="71" t="n">
        <v>46139</v>
      </c>
      <c r="BI4" s="70" t="n"/>
      <c r="BJ4" s="71" t="n">
        <v>46140</v>
      </c>
      <c r="BK4" s="70" t="n"/>
      <c r="BL4" s="71" t="n">
        <v>46141</v>
      </c>
      <c r="BM4" s="70" t="n"/>
      <c r="BN4" s="71" t="n">
        <v>46142</v>
      </c>
      <c r="BO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IF($B6="","",SUMPRODUCT(COUNTIF($H6:$BO6,KOD)*KOD_GUN))</f>
        <v/>
      </c>
      <c r="E6" s="76">
        <f>IF($B6="","",SUMPRODUCT(COUNTIF($H6:$BO6,KOD)*KOD_DEVAMSIZ))</f>
        <v/>
      </c>
      <c r="F6" s="76">
        <f>IF($B6="","",SUMPRODUCT(COUNTIF($H6:$BO6,KOD)*KOD_IZIN))</f>
        <v/>
      </c>
      <c r="G6" s="76">
        <f>IF($B6="","",SUM(I6,K6,M6,O6,Q6,S6,U6,W6,Y6,AA6,AC6,AE6,AG6,AI6,AK6,AM6,AO6,AQ6,AS6,AU6,AW6,AY6,BA6,BC6,BE6,BG6,BI6,BK6,BM6,BO6))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IF($B7="","",SUMPRODUCT(COUNTIF($H7:$BO7,KOD)*KOD_GUN))</f>
        <v/>
      </c>
      <c r="E7" s="76">
        <f>IF($B7="","",SUMPRODUCT(COUNTIF($H7:$BO7,KOD)*KOD_DEVAMSIZ))</f>
        <v/>
      </c>
      <c r="F7" s="76">
        <f>IF($B7="","",SUMPRODUCT(COUNTIF($H7:$BO7,KOD)*KOD_IZIN))</f>
        <v/>
      </c>
      <c r="G7" s="76">
        <f>IF($B7="","",SUM(I7,K7,M7,O7,Q7,S7,U7,W7,Y7,AA7,AC7,AE7,AG7,AI7,AK7,AM7,AO7,AQ7,AS7,AU7,AW7,AY7,BA7,BC7,BE7,BG7,BI7,BK7,BM7,BO7))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IF($B8="","",SUMPRODUCT(COUNTIF($H8:$BO8,KOD)*KOD_GUN))</f>
        <v/>
      </c>
      <c r="E8" s="76">
        <f>IF($B8="","",SUMPRODUCT(COUNTIF($H8:$BO8,KOD)*KOD_DEVAMSIZ))</f>
        <v/>
      </c>
      <c r="F8" s="76">
        <f>IF($B8="","",SUMPRODUCT(COUNTIF($H8:$BO8,KOD)*KOD_IZIN))</f>
        <v/>
      </c>
      <c r="G8" s="76">
        <f>IF($B8="","",SUM(I8,K8,M8,O8,Q8,S8,U8,W8,Y8,AA8,AC8,AE8,AG8,AI8,AK8,AM8,AO8,AQ8,AS8,AU8,AW8,AY8,BA8,BC8,BE8,BG8,BI8,BK8,BM8,BO8))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IF($B9="","",SUMPRODUCT(COUNTIF($H9:$BO9,KOD)*KOD_GUN))</f>
        <v/>
      </c>
      <c r="E9" s="76">
        <f>IF($B9="","",SUMPRODUCT(COUNTIF($H9:$BO9,KOD)*KOD_DEVAMSIZ))</f>
        <v/>
      </c>
      <c r="F9" s="76">
        <f>IF($B9="","",SUMPRODUCT(COUNTIF($H9:$BO9,KOD)*KOD_IZIN))</f>
        <v/>
      </c>
      <c r="G9" s="76">
        <f>IF($B9="","",SUM(I9,K9,M9,O9,Q9,S9,U9,W9,Y9,AA9,AC9,AE9,AG9,AI9,AK9,AM9,AO9,AQ9,AS9,AU9,AW9,AY9,BA9,BC9,BE9,BG9,BI9,BK9,BM9,BO9))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IF($B10="","",SUMPRODUCT(COUNTIF($H10:$BO10,KOD)*KOD_GUN))</f>
        <v/>
      </c>
      <c r="E10" s="76">
        <f>IF($B10="","",SUMPRODUCT(COUNTIF($H10:$BO10,KOD)*KOD_DEVAMSIZ))</f>
        <v/>
      </c>
      <c r="F10" s="76">
        <f>IF($B10="","",SUMPRODUCT(COUNTIF($H10:$BO10,KOD)*KOD_IZIN))</f>
        <v/>
      </c>
      <c r="G10" s="76">
        <f>IF($B10="","",SUM(I10,K10,M10,O10,Q10,S10,U10,W10,Y10,AA10,AC10,AE10,AG10,AI10,AK10,AM10,AO10,AQ10,AS10,AU10,AW10,AY10,BA10,BC10,BE10,BG10,BI10,BK10,BM10,BO10))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IF($B11="","",SUMPRODUCT(COUNTIF($H11:$BO11,KOD)*KOD_GUN))</f>
        <v/>
      </c>
      <c r="E11" s="76">
        <f>IF($B11="","",SUMPRODUCT(COUNTIF($H11:$BO11,KOD)*KOD_DEVAMSIZ))</f>
        <v/>
      </c>
      <c r="F11" s="76">
        <f>IF($B11="","",SUMPRODUCT(COUNTIF($H11:$BO11,KOD)*KOD_IZIN))</f>
        <v/>
      </c>
      <c r="G11" s="76">
        <f>IF($B11="","",SUM(I11,K11,M11,O11,Q11,S11,U11,W11,Y11,AA11,AC11,AE11,AG11,AI11,AK11,AM11,AO11,AQ11,AS11,AU11,AW11,AY11,BA11,BC11,BE11,BG11,BI11,BK11,BM11,BO11))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IF($B12="","",SUMPRODUCT(COUNTIF($H12:$BO12,KOD)*KOD_GUN))</f>
        <v/>
      </c>
      <c r="E12" s="76">
        <f>IF($B12="","",SUMPRODUCT(COUNTIF($H12:$BO12,KOD)*KOD_DEVAMSIZ))</f>
        <v/>
      </c>
      <c r="F12" s="76">
        <f>IF($B12="","",SUMPRODUCT(COUNTIF($H12:$BO12,KOD)*KOD_IZIN))</f>
        <v/>
      </c>
      <c r="G12" s="76">
        <f>IF($B12="","",SUM(I12,K12,M12,O12,Q12,S12,U12,W12,Y12,AA12,AC12,AE12,AG12,AI12,AK12,AM12,AO12,AQ12,AS12,AU12,AW12,AY12,BA12,BC12,BE12,BG12,BI12,BK12,BM12,BO12))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IF($B13="","",SUMPRODUCT(COUNTIF($H13:$BO13,KOD)*KOD_GUN))</f>
        <v/>
      </c>
      <c r="E13" s="76">
        <f>IF($B13="","",SUMPRODUCT(COUNTIF($H13:$BO13,KOD)*KOD_DEVAMSIZ))</f>
        <v/>
      </c>
      <c r="F13" s="76">
        <f>IF($B13="","",SUMPRODUCT(COUNTIF($H13:$BO13,KOD)*KOD_IZIN))</f>
        <v/>
      </c>
      <c r="G13" s="76">
        <f>IF($B13="","",SUM(I13,K13,M13,O13,Q13,S13,U13,W13,Y13,AA13,AC13,AE13,AG13,AI13,AK13,AM13,AO13,AQ13,AS13,AU13,AW13,AY13,BA13,BC13,BE13,BG13,BI13,BK13,BM13,BO13))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IF($B14="","",SUMPRODUCT(COUNTIF($H14:$BO14,KOD)*KOD_GUN))</f>
        <v/>
      </c>
      <c r="E14" s="76">
        <f>IF($B14="","",SUMPRODUCT(COUNTIF($H14:$BO14,KOD)*KOD_DEVAMSIZ))</f>
        <v/>
      </c>
      <c r="F14" s="76">
        <f>IF($B14="","",SUMPRODUCT(COUNTIF($H14:$BO14,KOD)*KOD_IZIN))</f>
        <v/>
      </c>
      <c r="G14" s="76">
        <f>IF($B14="","",SUM(I14,K14,M14,O14,Q14,S14,U14,W14,Y14,AA14,AC14,AE14,AG14,AI14,AK14,AM14,AO14,AQ14,AS14,AU14,AW14,AY14,BA14,BC14,BE14,BG14,BI14,BK14,BM14,BO14))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IF($B15="","",SUMPRODUCT(COUNTIF($H15:$BO15,KOD)*KOD_GUN))</f>
        <v/>
      </c>
      <c r="E15" s="76">
        <f>IF($B15="","",SUMPRODUCT(COUNTIF($H15:$BO15,KOD)*KOD_DEVAMSIZ))</f>
        <v/>
      </c>
      <c r="F15" s="76">
        <f>IF($B15="","",SUMPRODUCT(COUNTIF($H15:$BO15,KOD)*KOD_IZIN))</f>
        <v/>
      </c>
      <c r="G15" s="76">
        <f>IF($B15="","",SUM(I15,K15,M15,O15,Q15,S15,U15,W15,Y15,AA15,AC15,AE15,AG15,AI15,AK15,AM15,AO15,AQ15,AS15,AU15,AW15,AY15,BA15,BC15,BE15,BG15,BI15,BK15,BM15,BO15))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IF($B16="","",SUMPRODUCT(COUNTIF($H16:$BO16,KOD)*KOD_GUN))</f>
        <v/>
      </c>
      <c r="E16" s="76">
        <f>IF($B16="","",SUMPRODUCT(COUNTIF($H16:$BO16,KOD)*KOD_DEVAMSIZ))</f>
        <v/>
      </c>
      <c r="F16" s="76">
        <f>IF($B16="","",SUMPRODUCT(COUNTIF($H16:$BO16,KOD)*KOD_IZIN))</f>
        <v/>
      </c>
      <c r="G16" s="76">
        <f>IF($B16="","",SUM(I16,K16,M16,O16,Q16,S16,U16,W16,Y16,AA16,AC16,AE16,AG16,AI16,AK16,AM16,AO16,AQ16,AS16,AU16,AW16,AY16,BA16,BC16,BE16,BG16,BI16,BK16,BM16,BO16))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IF($B17="","",SUMPRODUCT(COUNTIF($H17:$BO17,KOD)*KOD_GUN))</f>
        <v/>
      </c>
      <c r="E17" s="76">
        <f>IF($B17="","",SUMPRODUCT(COUNTIF($H17:$BO17,KOD)*KOD_DEVAMSIZ))</f>
        <v/>
      </c>
      <c r="F17" s="76">
        <f>IF($B17="","",SUMPRODUCT(COUNTIF($H17:$BO17,KOD)*KOD_IZIN))</f>
        <v/>
      </c>
      <c r="G17" s="76">
        <f>IF($B17="","",SUM(I17,K17,M17,O17,Q17,S17,U17,W17,Y17,AA17,AC17,AE17,AG17,AI17,AK17,AM17,AO17,AQ17,AS17,AU17,AW17,AY17,BA17,BC17,BE17,BG17,BI17,BK17,BM17,BO17))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IF($B18="","",SUMPRODUCT(COUNTIF($H18:$BO18,KOD)*KOD_GUN))</f>
        <v/>
      </c>
      <c r="E18" s="76">
        <f>IF($B18="","",SUMPRODUCT(COUNTIF($H18:$BO18,KOD)*KOD_DEVAMSIZ))</f>
        <v/>
      </c>
      <c r="F18" s="76">
        <f>IF($B18="","",SUMPRODUCT(COUNTIF($H18:$BO18,KOD)*KOD_IZIN))</f>
        <v/>
      </c>
      <c r="G18" s="76">
        <f>IF($B18="","",SUM(I18,K18,M18,O18,Q18,S18,U18,W18,Y18,AA18,AC18,AE18,AG18,AI18,AK18,AM18,AO18,AQ18,AS18,AU18,AW18,AY18,BA18,BC18,BE18,BG18,BI18,BK18,BM18,BO18))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IF($B19="","",SUMPRODUCT(COUNTIF($H19:$BO19,KOD)*KOD_GUN))</f>
        <v/>
      </c>
      <c r="E19" s="76">
        <f>IF($B19="","",SUMPRODUCT(COUNTIF($H19:$BO19,KOD)*KOD_DEVAMSIZ))</f>
        <v/>
      </c>
      <c r="F19" s="76">
        <f>IF($B19="","",SUMPRODUCT(COUNTIF($H19:$BO19,KOD)*KOD_IZIN))</f>
        <v/>
      </c>
      <c r="G19" s="76">
        <f>IF($B19="","",SUM(I19,K19,M19,O19,Q19,S19,U19,W19,Y19,AA19,AC19,AE19,AG19,AI19,AK19,AM19,AO19,AQ19,AS19,AU19,AW19,AY19,BA19,BC19,BE19,BG19,BI19,BK19,BM19,BO19))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IF($B20="","",SUMPRODUCT(COUNTIF($H20:$BO20,KOD)*KOD_GUN))</f>
        <v/>
      </c>
      <c r="E20" s="76">
        <f>IF($B20="","",SUMPRODUCT(COUNTIF($H20:$BO20,KOD)*KOD_DEVAMSIZ))</f>
        <v/>
      </c>
      <c r="F20" s="76">
        <f>IF($B20="","",SUMPRODUCT(COUNTIF($H20:$BO20,KOD)*KOD_IZIN))</f>
        <v/>
      </c>
      <c r="G20" s="76">
        <f>IF($B20="","",SUM(I20,K20,M20,O20,Q20,S20,U20,W20,Y20,AA20,AC20,AE20,AG20,AI20,AK20,AM20,AO20,AQ20,AS20,AU20,AW20,AY20,BA20,BC20,BE20,BG20,BI20,BK20,BM20,BO20))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IF($B21="","",SUMPRODUCT(COUNTIF($H21:$BO21,KOD)*KOD_GUN))</f>
        <v/>
      </c>
      <c r="E21" s="76">
        <f>IF($B21="","",SUMPRODUCT(COUNTIF($H21:$BO21,KOD)*KOD_DEVAMSIZ))</f>
        <v/>
      </c>
      <c r="F21" s="76">
        <f>IF($B21="","",SUMPRODUCT(COUNTIF($H21:$BO21,KOD)*KOD_IZIN))</f>
        <v/>
      </c>
      <c r="G21" s="76">
        <f>IF($B21="","",SUM(I21,K21,M21,O21,Q21,S21,U21,W21,Y21,AA21,AC21,AE21,AG21,AI21,AK21,AM21,AO21,AQ21,AS21,AU21,AW21,AY21,BA21,BC21,BE21,BG21,BI21,BK21,BM21,BO21))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IF($B22="","",SUMPRODUCT(COUNTIF($H22:$BO22,KOD)*KOD_GUN))</f>
        <v/>
      </c>
      <c r="E22" s="76">
        <f>IF($B22="","",SUMPRODUCT(COUNTIF($H22:$BO22,KOD)*KOD_DEVAMSIZ))</f>
        <v/>
      </c>
      <c r="F22" s="76">
        <f>IF($B22="","",SUMPRODUCT(COUNTIF($H22:$BO22,KOD)*KOD_IZIN))</f>
        <v/>
      </c>
      <c r="G22" s="76">
        <f>IF($B22="","",SUM(I22,K22,M22,O22,Q22,S22,U22,W22,Y22,AA22,AC22,AE22,AG22,AI22,AK22,AM22,AO22,AQ22,AS22,AU22,AW22,AY22,BA22,BC22,BE22,BG22,BI22,BK22,BM22,BO22))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IF($B23="","",SUMPRODUCT(COUNTIF($H23:$BO23,KOD)*KOD_GUN))</f>
        <v/>
      </c>
      <c r="E23" s="76">
        <f>IF($B23="","",SUMPRODUCT(COUNTIF($H23:$BO23,KOD)*KOD_DEVAMSIZ))</f>
        <v/>
      </c>
      <c r="F23" s="76">
        <f>IF($B23="","",SUMPRODUCT(COUNTIF($H23:$BO23,KOD)*KOD_IZIN))</f>
        <v/>
      </c>
      <c r="G23" s="76">
        <f>IF($B23="","",SUM(I23,K23,M23,O23,Q23,S23,U23,W23,Y23,AA23,AC23,AE23,AG23,AI23,AK23,AM23,AO23,AQ23,AS23,AU23,AW23,AY23,BA23,BC23,BE23,BG23,BI23,BK23,BM23,BO23))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IF($B24="","",SUMPRODUCT(COUNTIF($H24:$BO24,KOD)*KOD_GUN))</f>
        <v/>
      </c>
      <c r="E24" s="76">
        <f>IF($B24="","",SUMPRODUCT(COUNTIF($H24:$BO24,KOD)*KOD_DEVAMSIZ))</f>
        <v/>
      </c>
      <c r="F24" s="76">
        <f>IF($B24="","",SUMPRODUCT(COUNTIF($H24:$BO24,KOD)*KOD_IZIN))</f>
        <v/>
      </c>
      <c r="G24" s="76">
        <f>IF($B24="","",SUM(I24,K24,M24,O24,Q24,S24,U24,W24,Y24,AA24,AC24,AE24,AG24,AI24,AK24,AM24,AO24,AQ24,AS24,AU24,AW24,AY24,BA24,BC24,BE24,BG24,BI24,BK24,BM24,BO24))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IF($B25="","",SUMPRODUCT(COUNTIF($H25:$BO25,KOD)*KOD_GUN))</f>
        <v/>
      </c>
      <c r="E25" s="76">
        <f>IF($B25="","",SUMPRODUCT(COUNTIF($H25:$BO25,KOD)*KOD_DEVAMSIZ))</f>
        <v/>
      </c>
      <c r="F25" s="76">
        <f>IF($B25="","",SUMPRODUCT(COUNTIF($H25:$BO25,KOD)*KOD_IZIN))</f>
        <v/>
      </c>
      <c r="G25" s="76">
        <f>IF($B25="","",SUM(I25,K25,M25,O25,Q25,S25,U25,W25,Y25,AA25,AC25,AE25,AG25,AI25,AK25,AM25,AO25,AQ25,AS25,AU25,AW25,AY25,BA25,BC25,BE25,BG25,BI25,BK25,BM25,BO25))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IF($B26="","",SUMPRODUCT(COUNTIF($H26:$BO26,KOD)*KOD_GUN))</f>
        <v/>
      </c>
      <c r="E26" s="76">
        <f>IF($B26="","",SUMPRODUCT(COUNTIF($H26:$BO26,KOD)*KOD_DEVAMSIZ))</f>
        <v/>
      </c>
      <c r="F26" s="76">
        <f>IF($B26="","",SUMPRODUCT(COUNTIF($H26:$BO26,KOD)*KOD_IZIN))</f>
        <v/>
      </c>
      <c r="G26" s="76">
        <f>IF($B26="","",SUM(I26,K26,M26,O26,Q26,S26,U26,W26,Y26,AA26,AC26,AE26,AG26,AI26,AK26,AM26,AO26,AQ26,AS26,AU26,AW26,AY26,BA26,BC26,BE26,BG26,BI26,BK26,BM26,BO26))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IF($B27="","",SUMPRODUCT(COUNTIF($H27:$BO27,KOD)*KOD_GUN))</f>
        <v/>
      </c>
      <c r="E27" s="76">
        <f>IF($B27="","",SUMPRODUCT(COUNTIF($H27:$BO27,KOD)*KOD_DEVAMSIZ))</f>
        <v/>
      </c>
      <c r="F27" s="76">
        <f>IF($B27="","",SUMPRODUCT(COUNTIF($H27:$BO27,KOD)*KOD_IZIN))</f>
        <v/>
      </c>
      <c r="G27" s="76">
        <f>IF($B27="","",SUM(I27,K27,M27,O27,Q27,S27,U27,W27,Y27,AA27,AC27,AE27,AG27,AI27,AK27,AM27,AO27,AQ27,AS27,AU27,AW27,AY27,BA27,BC27,BE27,BG27,BI27,BK27,BM27,BO27))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IF($B28="","",SUMPRODUCT(COUNTIF($H28:$BO28,KOD)*KOD_GUN))</f>
        <v/>
      </c>
      <c r="E28" s="76">
        <f>IF($B28="","",SUMPRODUCT(COUNTIF($H28:$BO28,KOD)*KOD_DEVAMSIZ))</f>
        <v/>
      </c>
      <c r="F28" s="76">
        <f>IF($B28="","",SUMPRODUCT(COUNTIF($H28:$BO28,KOD)*KOD_IZIN))</f>
        <v/>
      </c>
      <c r="G28" s="76">
        <f>IF($B28="","",SUM(I28,K28,M28,O28,Q28,S28,U28,W28,Y28,AA28,AC28,AE28,AG28,AI28,AK28,AM28,AO28,AQ28,AS28,AU28,AW28,AY28,BA28,BC28,BE28,BG28,BI28,BK28,BM28,BO28))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IF($B29="","",SUMPRODUCT(COUNTIF($H29:$BO29,KOD)*KOD_GUN))</f>
        <v/>
      </c>
      <c r="E29" s="76">
        <f>IF($B29="","",SUMPRODUCT(COUNTIF($H29:$BO29,KOD)*KOD_DEVAMSIZ))</f>
        <v/>
      </c>
      <c r="F29" s="76">
        <f>IF($B29="","",SUMPRODUCT(COUNTIF($H29:$BO29,KOD)*KOD_IZIN))</f>
        <v/>
      </c>
      <c r="G29" s="76">
        <f>IF($B29="","",SUM(I29,K29,M29,O29,Q29,S29,U29,W29,Y29,AA29,AC29,AE29,AG29,AI29,AK29,AM29,AO29,AQ29,AS29,AU29,AW29,AY29,BA29,BC29,BE29,BG29,BI29,BK29,BM29,BO29))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IF($B30="","",SUMPRODUCT(COUNTIF($H30:$BO30,KOD)*KOD_GUN))</f>
        <v/>
      </c>
      <c r="E30" s="76">
        <f>IF($B30="","",SUMPRODUCT(COUNTIF($H30:$BO30,KOD)*KOD_DEVAMSIZ))</f>
        <v/>
      </c>
      <c r="F30" s="76">
        <f>IF($B30="","",SUMPRODUCT(COUNTIF($H30:$BO30,KOD)*KOD_IZIN))</f>
        <v/>
      </c>
      <c r="G30" s="76">
        <f>IF($B30="","",SUM(I30,K30,M30,O30,Q30,S30,U30,W30,Y30,AA30,AC30,AE30,AG30,AI30,AK30,AM30,AO30,AQ30,AS30,AU30,AW30,AY30,BA30,BC30,BE30,BG30,BI30,BK30,BM30,BO30))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</row>
  </sheetData>
  <mergeCells count="141">
    <mergeCell ref="AD3:AE3"/>
    <mergeCell ref="AN3:AO3"/>
    <mergeCell ref="AP3:AQ3"/>
    <mergeCell ref="L3:M3"/>
    <mergeCell ref="AT3:AU3"/>
    <mergeCell ref="BD3:BE3"/>
    <mergeCell ref="N3:O3"/>
    <mergeCell ref="AV3:AW3"/>
    <mergeCell ref="BN3:BO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H31:I31"/>
    <mergeCell ref="Z32:AA32"/>
    <mergeCell ref="BH32:BI32"/>
    <mergeCell ref="AB32:AC32"/>
    <mergeCell ref="AF4:AG4"/>
    <mergeCell ref="AH4:AI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A1:BO1"/>
    <mergeCell ref="D3:D5"/>
    <mergeCell ref="AR3:AS3"/>
    <mergeCell ref="AB3:AC3"/>
  </mergeCells>
  <conditionalFormatting sqref="H6:BO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OR(AND(INDEX(PL_GIRIS,(ROW(H6)-5))&lt;&gt;"",(DATE(2026,4,1)+INT((COLUMN(H6)-8)/2))&lt;INDEX(PL_GIRIS,(ROW(H6)-5))),AND(INDEX(PL_CIKIS,(ROW(H6)-5))&lt;&gt;"",(DATE(2026,4,1)+INT((COLUMN(H6)-8)/2))&gt;INDEX(PL_CIKIS,(ROW(H6)-5))))</formula>
    </cfRule>
    <cfRule type="expression" priority="8" dxfId="8">
      <formula>OR(WEEKDAY((DATE(2026,4,1)+INT((COLUMN(H6)-8)/2)),2)=7,COUNTIF(TATIL,(DATE(2026,4,1)+INT((COLUMN(H6)-8)/2)))&gt;0)</formula>
    </cfRule>
  </conditionalFormatting>
  <conditionalFormatting sqref="H3:BO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MAYIS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46143</v>
      </c>
      <c r="I3" s="67" t="n"/>
      <c r="J3" s="68" t="n">
        <v>46144</v>
      </c>
      <c r="K3" s="67" t="n"/>
      <c r="L3" s="68" t="n">
        <v>46145</v>
      </c>
      <c r="M3" s="67" t="n"/>
      <c r="N3" s="68" t="n">
        <v>46146</v>
      </c>
      <c r="O3" s="67" t="n"/>
      <c r="P3" s="68" t="n">
        <v>46147</v>
      </c>
      <c r="Q3" s="67" t="n"/>
      <c r="R3" s="68" t="n">
        <v>46148</v>
      </c>
      <c r="S3" s="67" t="n"/>
      <c r="T3" s="68" t="n">
        <v>46149</v>
      </c>
      <c r="U3" s="67" t="n"/>
      <c r="V3" s="68" t="n">
        <v>46150</v>
      </c>
      <c r="W3" s="67" t="n"/>
      <c r="X3" s="68" t="n">
        <v>46151</v>
      </c>
      <c r="Y3" s="67" t="n"/>
      <c r="Z3" s="68" t="n">
        <v>46152</v>
      </c>
      <c r="AA3" s="67" t="n"/>
      <c r="AB3" s="68" t="n">
        <v>46153</v>
      </c>
      <c r="AC3" s="67" t="n"/>
      <c r="AD3" s="68" t="n">
        <v>46154</v>
      </c>
      <c r="AE3" s="67" t="n"/>
      <c r="AF3" s="68" t="n">
        <v>46155</v>
      </c>
      <c r="AG3" s="67" t="n"/>
      <c r="AH3" s="68" t="n">
        <v>46156</v>
      </c>
      <c r="AI3" s="67" t="n"/>
      <c r="AJ3" s="68" t="n">
        <v>46157</v>
      </c>
      <c r="AK3" s="67" t="n"/>
      <c r="AL3" s="68" t="n">
        <v>46158</v>
      </c>
      <c r="AM3" s="67" t="n"/>
      <c r="AN3" s="68" t="n">
        <v>46159</v>
      </c>
      <c r="AO3" s="67" t="n"/>
      <c r="AP3" s="68" t="n">
        <v>46160</v>
      </c>
      <c r="AQ3" s="67" t="n"/>
      <c r="AR3" s="68" t="n">
        <v>46161</v>
      </c>
      <c r="AS3" s="67" t="n"/>
      <c r="AT3" s="68" t="n">
        <v>46162</v>
      </c>
      <c r="AU3" s="67" t="n"/>
      <c r="AV3" s="68" t="n">
        <v>46163</v>
      </c>
      <c r="AW3" s="67" t="n"/>
      <c r="AX3" s="68" t="n">
        <v>46164</v>
      </c>
      <c r="AY3" s="67" t="n"/>
      <c r="AZ3" s="68" t="n">
        <v>46165</v>
      </c>
      <c r="BA3" s="67" t="n"/>
      <c r="BB3" s="68" t="n">
        <v>46166</v>
      </c>
      <c r="BC3" s="67" t="n"/>
      <c r="BD3" s="68" t="n">
        <v>46167</v>
      </c>
      <c r="BE3" s="67" t="n"/>
      <c r="BF3" s="68" t="n">
        <v>46168</v>
      </c>
      <c r="BG3" s="67" t="n"/>
      <c r="BH3" s="68" t="n">
        <v>46169</v>
      </c>
      <c r="BI3" s="67" t="n"/>
      <c r="BJ3" s="68" t="n">
        <v>46170</v>
      </c>
      <c r="BK3" s="67" t="n"/>
      <c r="BL3" s="68" t="n">
        <v>46171</v>
      </c>
      <c r="BM3" s="67" t="n"/>
      <c r="BN3" s="68" t="n">
        <v>46172</v>
      </c>
      <c r="BO3" s="67" t="n"/>
      <c r="BP3" s="68" t="n">
        <v>46173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46143</v>
      </c>
      <c r="I4" s="70" t="n"/>
      <c r="J4" s="71" t="n">
        <v>46144</v>
      </c>
      <c r="K4" s="70" t="n"/>
      <c r="L4" s="71" t="n">
        <v>46145</v>
      </c>
      <c r="M4" s="70" t="n"/>
      <c r="N4" s="71" t="n">
        <v>46146</v>
      </c>
      <c r="O4" s="70" t="n"/>
      <c r="P4" s="71" t="n">
        <v>46147</v>
      </c>
      <c r="Q4" s="70" t="n"/>
      <c r="R4" s="71" t="n">
        <v>46148</v>
      </c>
      <c r="S4" s="70" t="n"/>
      <c r="T4" s="71" t="n">
        <v>46149</v>
      </c>
      <c r="U4" s="70" t="n"/>
      <c r="V4" s="71" t="n">
        <v>46150</v>
      </c>
      <c r="W4" s="70" t="n"/>
      <c r="X4" s="71" t="n">
        <v>46151</v>
      </c>
      <c r="Y4" s="70" t="n"/>
      <c r="Z4" s="71" t="n">
        <v>46152</v>
      </c>
      <c r="AA4" s="70" t="n"/>
      <c r="AB4" s="71" t="n">
        <v>46153</v>
      </c>
      <c r="AC4" s="70" t="n"/>
      <c r="AD4" s="71" t="n">
        <v>46154</v>
      </c>
      <c r="AE4" s="70" t="n"/>
      <c r="AF4" s="71" t="n">
        <v>46155</v>
      </c>
      <c r="AG4" s="70" t="n"/>
      <c r="AH4" s="71" t="n">
        <v>46156</v>
      </c>
      <c r="AI4" s="70" t="n"/>
      <c r="AJ4" s="71" t="n">
        <v>46157</v>
      </c>
      <c r="AK4" s="70" t="n"/>
      <c r="AL4" s="71" t="n">
        <v>46158</v>
      </c>
      <c r="AM4" s="70" t="n"/>
      <c r="AN4" s="71" t="n">
        <v>46159</v>
      </c>
      <c r="AO4" s="70" t="n"/>
      <c r="AP4" s="71" t="n">
        <v>46160</v>
      </c>
      <c r="AQ4" s="70" t="n"/>
      <c r="AR4" s="71" t="n">
        <v>46161</v>
      </c>
      <c r="AS4" s="70" t="n"/>
      <c r="AT4" s="71" t="n">
        <v>46162</v>
      </c>
      <c r="AU4" s="70" t="n"/>
      <c r="AV4" s="71" t="n">
        <v>46163</v>
      </c>
      <c r="AW4" s="70" t="n"/>
      <c r="AX4" s="71" t="n">
        <v>46164</v>
      </c>
      <c r="AY4" s="70" t="n"/>
      <c r="AZ4" s="71" t="n">
        <v>46165</v>
      </c>
      <c r="BA4" s="70" t="n"/>
      <c r="BB4" s="71" t="n">
        <v>46166</v>
      </c>
      <c r="BC4" s="70" t="n"/>
      <c r="BD4" s="71" t="n">
        <v>46167</v>
      </c>
      <c r="BE4" s="70" t="n"/>
      <c r="BF4" s="71" t="n">
        <v>46168</v>
      </c>
      <c r="BG4" s="70" t="n"/>
      <c r="BH4" s="71" t="n">
        <v>46169</v>
      </c>
      <c r="BI4" s="70" t="n"/>
      <c r="BJ4" s="71" t="n">
        <v>46170</v>
      </c>
      <c r="BK4" s="70" t="n"/>
      <c r="BL4" s="71" t="n">
        <v>46171</v>
      </c>
      <c r="BM4" s="70" t="n"/>
      <c r="BN4" s="71" t="n">
        <v>46172</v>
      </c>
      <c r="BO4" s="70" t="n"/>
      <c r="BP4" s="71" t="n">
        <v>46173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OR(AND(INDEX(PL_GIRIS,(ROW(H6)-5))&lt;&gt;"",(DATE(2026,5,1)+INT((COLUMN(H6)-8)/2))&lt;INDEX(PL_GIRIS,(ROW(H6)-5))),AND(INDEX(PL_CIKIS,(ROW(H6)-5))&lt;&gt;"",(DATE(2026,5,1)+INT((COLUMN(H6)-8)/2))&gt;INDEX(PL_CIKIS,(ROW(H6)-5))))</formula>
    </cfRule>
    <cfRule type="expression" priority="8" dxfId="8">
      <formula>OR(WEEKDAY((DATE(2026,5,1)+INT((COLUMN(H6)-8)/2)),2)=7,COUNTIF(TATIL,(DATE(2026,5,1)+INT((COLUMN(H6)-8)/2)))&gt;0)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O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</cols>
  <sheetData>
    <row r="1" ht="36" customHeight="1">
      <c r="A1" s="1" t="inlineStr">
        <is>
          <t>HAZIRAN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46174</v>
      </c>
      <c r="I3" s="67" t="n"/>
      <c r="J3" s="68" t="n">
        <v>46175</v>
      </c>
      <c r="K3" s="67" t="n"/>
      <c r="L3" s="68" t="n">
        <v>46176</v>
      </c>
      <c r="M3" s="67" t="n"/>
      <c r="N3" s="68" t="n">
        <v>46177</v>
      </c>
      <c r="O3" s="67" t="n"/>
      <c r="P3" s="68" t="n">
        <v>46178</v>
      </c>
      <c r="Q3" s="67" t="n"/>
      <c r="R3" s="68" t="n">
        <v>46179</v>
      </c>
      <c r="S3" s="67" t="n"/>
      <c r="T3" s="68" t="n">
        <v>46180</v>
      </c>
      <c r="U3" s="67" t="n"/>
      <c r="V3" s="68" t="n">
        <v>46181</v>
      </c>
      <c r="W3" s="67" t="n"/>
      <c r="X3" s="68" t="n">
        <v>46182</v>
      </c>
      <c r="Y3" s="67" t="n"/>
      <c r="Z3" s="68" t="n">
        <v>46183</v>
      </c>
      <c r="AA3" s="67" t="n"/>
      <c r="AB3" s="68" t="n">
        <v>46184</v>
      </c>
      <c r="AC3" s="67" t="n"/>
      <c r="AD3" s="68" t="n">
        <v>46185</v>
      </c>
      <c r="AE3" s="67" t="n"/>
      <c r="AF3" s="68" t="n">
        <v>46186</v>
      </c>
      <c r="AG3" s="67" t="n"/>
      <c r="AH3" s="68" t="n">
        <v>46187</v>
      </c>
      <c r="AI3" s="67" t="n"/>
      <c r="AJ3" s="68" t="n">
        <v>46188</v>
      </c>
      <c r="AK3" s="67" t="n"/>
      <c r="AL3" s="68" t="n">
        <v>46189</v>
      </c>
      <c r="AM3" s="67" t="n"/>
      <c r="AN3" s="68" t="n">
        <v>46190</v>
      </c>
      <c r="AO3" s="67" t="n"/>
      <c r="AP3" s="68" t="n">
        <v>46191</v>
      </c>
      <c r="AQ3" s="67" t="n"/>
      <c r="AR3" s="68" t="n">
        <v>46192</v>
      </c>
      <c r="AS3" s="67" t="n"/>
      <c r="AT3" s="68" t="n">
        <v>46193</v>
      </c>
      <c r="AU3" s="67" t="n"/>
      <c r="AV3" s="68" t="n">
        <v>46194</v>
      </c>
      <c r="AW3" s="67" t="n"/>
      <c r="AX3" s="68" t="n">
        <v>46195</v>
      </c>
      <c r="AY3" s="67" t="n"/>
      <c r="AZ3" s="68" t="n">
        <v>46196</v>
      </c>
      <c r="BA3" s="67" t="n"/>
      <c r="BB3" s="68" t="n">
        <v>46197</v>
      </c>
      <c r="BC3" s="67" t="n"/>
      <c r="BD3" s="68" t="n">
        <v>46198</v>
      </c>
      <c r="BE3" s="67" t="n"/>
      <c r="BF3" s="68" t="n">
        <v>46199</v>
      </c>
      <c r="BG3" s="67" t="n"/>
      <c r="BH3" s="68" t="n">
        <v>46200</v>
      </c>
      <c r="BI3" s="67" t="n"/>
      <c r="BJ3" s="68" t="n">
        <v>46201</v>
      </c>
      <c r="BK3" s="67" t="n"/>
      <c r="BL3" s="68" t="n">
        <v>46202</v>
      </c>
      <c r="BM3" s="67" t="n"/>
      <c r="BN3" s="68" t="n">
        <v>46203</v>
      </c>
      <c r="BO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46174</v>
      </c>
      <c r="I4" s="70" t="n"/>
      <c r="J4" s="71" t="n">
        <v>46175</v>
      </c>
      <c r="K4" s="70" t="n"/>
      <c r="L4" s="71" t="n">
        <v>46176</v>
      </c>
      <c r="M4" s="70" t="n"/>
      <c r="N4" s="71" t="n">
        <v>46177</v>
      </c>
      <c r="O4" s="70" t="n"/>
      <c r="P4" s="71" t="n">
        <v>46178</v>
      </c>
      <c r="Q4" s="70" t="n"/>
      <c r="R4" s="71" t="n">
        <v>46179</v>
      </c>
      <c r="S4" s="70" t="n"/>
      <c r="T4" s="71" t="n">
        <v>46180</v>
      </c>
      <c r="U4" s="70" t="n"/>
      <c r="V4" s="71" t="n">
        <v>46181</v>
      </c>
      <c r="W4" s="70" t="n"/>
      <c r="X4" s="71" t="n">
        <v>46182</v>
      </c>
      <c r="Y4" s="70" t="n"/>
      <c r="Z4" s="71" t="n">
        <v>46183</v>
      </c>
      <c r="AA4" s="70" t="n"/>
      <c r="AB4" s="71" t="n">
        <v>46184</v>
      </c>
      <c r="AC4" s="70" t="n"/>
      <c r="AD4" s="71" t="n">
        <v>46185</v>
      </c>
      <c r="AE4" s="70" t="n"/>
      <c r="AF4" s="71" t="n">
        <v>46186</v>
      </c>
      <c r="AG4" s="70" t="n"/>
      <c r="AH4" s="71" t="n">
        <v>46187</v>
      </c>
      <c r="AI4" s="70" t="n"/>
      <c r="AJ4" s="71" t="n">
        <v>46188</v>
      </c>
      <c r="AK4" s="70" t="n"/>
      <c r="AL4" s="71" t="n">
        <v>46189</v>
      </c>
      <c r="AM4" s="70" t="n"/>
      <c r="AN4" s="71" t="n">
        <v>46190</v>
      </c>
      <c r="AO4" s="70" t="n"/>
      <c r="AP4" s="71" t="n">
        <v>46191</v>
      </c>
      <c r="AQ4" s="70" t="n"/>
      <c r="AR4" s="71" t="n">
        <v>46192</v>
      </c>
      <c r="AS4" s="70" t="n"/>
      <c r="AT4" s="71" t="n">
        <v>46193</v>
      </c>
      <c r="AU4" s="70" t="n"/>
      <c r="AV4" s="71" t="n">
        <v>46194</v>
      </c>
      <c r="AW4" s="70" t="n"/>
      <c r="AX4" s="71" t="n">
        <v>46195</v>
      </c>
      <c r="AY4" s="70" t="n"/>
      <c r="AZ4" s="71" t="n">
        <v>46196</v>
      </c>
      <c r="BA4" s="70" t="n"/>
      <c r="BB4" s="71" t="n">
        <v>46197</v>
      </c>
      <c r="BC4" s="70" t="n"/>
      <c r="BD4" s="71" t="n">
        <v>46198</v>
      </c>
      <c r="BE4" s="70" t="n"/>
      <c r="BF4" s="71" t="n">
        <v>46199</v>
      </c>
      <c r="BG4" s="70" t="n"/>
      <c r="BH4" s="71" t="n">
        <v>46200</v>
      </c>
      <c r="BI4" s="70" t="n"/>
      <c r="BJ4" s="71" t="n">
        <v>46201</v>
      </c>
      <c r="BK4" s="70" t="n"/>
      <c r="BL4" s="71" t="n">
        <v>46202</v>
      </c>
      <c r="BM4" s="70" t="n"/>
      <c r="BN4" s="71" t="n">
        <v>46203</v>
      </c>
      <c r="BO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IF($B6="","",SUMPRODUCT(COUNTIF($H6:$BO6,KOD)*KOD_GUN))</f>
        <v/>
      </c>
      <c r="E6" s="76">
        <f>IF($B6="","",SUMPRODUCT(COUNTIF($H6:$BO6,KOD)*KOD_DEVAMSIZ))</f>
        <v/>
      </c>
      <c r="F6" s="76">
        <f>IF($B6="","",SUMPRODUCT(COUNTIF($H6:$BO6,KOD)*KOD_IZIN))</f>
        <v/>
      </c>
      <c r="G6" s="76">
        <f>IF($B6="","",SUM(I6,K6,M6,O6,Q6,S6,U6,W6,Y6,AA6,AC6,AE6,AG6,AI6,AK6,AM6,AO6,AQ6,AS6,AU6,AW6,AY6,BA6,BC6,BE6,BG6,BI6,BK6,BM6,BO6))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IF($B7="","",SUMPRODUCT(COUNTIF($H7:$BO7,KOD)*KOD_GUN))</f>
        <v/>
      </c>
      <c r="E7" s="76">
        <f>IF($B7="","",SUMPRODUCT(COUNTIF($H7:$BO7,KOD)*KOD_DEVAMSIZ))</f>
        <v/>
      </c>
      <c r="F7" s="76">
        <f>IF($B7="","",SUMPRODUCT(COUNTIF($H7:$BO7,KOD)*KOD_IZIN))</f>
        <v/>
      </c>
      <c r="G7" s="76">
        <f>IF($B7="","",SUM(I7,K7,M7,O7,Q7,S7,U7,W7,Y7,AA7,AC7,AE7,AG7,AI7,AK7,AM7,AO7,AQ7,AS7,AU7,AW7,AY7,BA7,BC7,BE7,BG7,BI7,BK7,BM7,BO7))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IF($B8="","",SUMPRODUCT(COUNTIF($H8:$BO8,KOD)*KOD_GUN))</f>
        <v/>
      </c>
      <c r="E8" s="76">
        <f>IF($B8="","",SUMPRODUCT(COUNTIF($H8:$BO8,KOD)*KOD_DEVAMSIZ))</f>
        <v/>
      </c>
      <c r="F8" s="76">
        <f>IF($B8="","",SUMPRODUCT(COUNTIF($H8:$BO8,KOD)*KOD_IZIN))</f>
        <v/>
      </c>
      <c r="G8" s="76">
        <f>IF($B8="","",SUM(I8,K8,M8,O8,Q8,S8,U8,W8,Y8,AA8,AC8,AE8,AG8,AI8,AK8,AM8,AO8,AQ8,AS8,AU8,AW8,AY8,BA8,BC8,BE8,BG8,BI8,BK8,BM8,BO8))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IF($B9="","",SUMPRODUCT(COUNTIF($H9:$BO9,KOD)*KOD_GUN))</f>
        <v/>
      </c>
      <c r="E9" s="76">
        <f>IF($B9="","",SUMPRODUCT(COUNTIF($H9:$BO9,KOD)*KOD_DEVAMSIZ))</f>
        <v/>
      </c>
      <c r="F9" s="76">
        <f>IF($B9="","",SUMPRODUCT(COUNTIF($H9:$BO9,KOD)*KOD_IZIN))</f>
        <v/>
      </c>
      <c r="G9" s="76">
        <f>IF($B9="","",SUM(I9,K9,M9,O9,Q9,S9,U9,W9,Y9,AA9,AC9,AE9,AG9,AI9,AK9,AM9,AO9,AQ9,AS9,AU9,AW9,AY9,BA9,BC9,BE9,BG9,BI9,BK9,BM9,BO9))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IF($B10="","",SUMPRODUCT(COUNTIF($H10:$BO10,KOD)*KOD_GUN))</f>
        <v/>
      </c>
      <c r="E10" s="76">
        <f>IF($B10="","",SUMPRODUCT(COUNTIF($H10:$BO10,KOD)*KOD_DEVAMSIZ))</f>
        <v/>
      </c>
      <c r="F10" s="76">
        <f>IF($B10="","",SUMPRODUCT(COUNTIF($H10:$BO10,KOD)*KOD_IZIN))</f>
        <v/>
      </c>
      <c r="G10" s="76">
        <f>IF($B10="","",SUM(I10,K10,M10,O10,Q10,S10,U10,W10,Y10,AA10,AC10,AE10,AG10,AI10,AK10,AM10,AO10,AQ10,AS10,AU10,AW10,AY10,BA10,BC10,BE10,BG10,BI10,BK10,BM10,BO10))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IF($B11="","",SUMPRODUCT(COUNTIF($H11:$BO11,KOD)*KOD_GUN))</f>
        <v/>
      </c>
      <c r="E11" s="76">
        <f>IF($B11="","",SUMPRODUCT(COUNTIF($H11:$BO11,KOD)*KOD_DEVAMSIZ))</f>
        <v/>
      </c>
      <c r="F11" s="76">
        <f>IF($B11="","",SUMPRODUCT(COUNTIF($H11:$BO11,KOD)*KOD_IZIN))</f>
        <v/>
      </c>
      <c r="G11" s="76">
        <f>IF($B11="","",SUM(I11,K11,M11,O11,Q11,S11,U11,W11,Y11,AA11,AC11,AE11,AG11,AI11,AK11,AM11,AO11,AQ11,AS11,AU11,AW11,AY11,BA11,BC11,BE11,BG11,BI11,BK11,BM11,BO11))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IF($B12="","",SUMPRODUCT(COUNTIF($H12:$BO12,KOD)*KOD_GUN))</f>
        <v/>
      </c>
      <c r="E12" s="76">
        <f>IF($B12="","",SUMPRODUCT(COUNTIF($H12:$BO12,KOD)*KOD_DEVAMSIZ))</f>
        <v/>
      </c>
      <c r="F12" s="76">
        <f>IF($B12="","",SUMPRODUCT(COUNTIF($H12:$BO12,KOD)*KOD_IZIN))</f>
        <v/>
      </c>
      <c r="G12" s="76">
        <f>IF($B12="","",SUM(I12,K12,M12,O12,Q12,S12,U12,W12,Y12,AA12,AC12,AE12,AG12,AI12,AK12,AM12,AO12,AQ12,AS12,AU12,AW12,AY12,BA12,BC12,BE12,BG12,BI12,BK12,BM12,BO12))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IF($B13="","",SUMPRODUCT(COUNTIF($H13:$BO13,KOD)*KOD_GUN))</f>
        <v/>
      </c>
      <c r="E13" s="76">
        <f>IF($B13="","",SUMPRODUCT(COUNTIF($H13:$BO13,KOD)*KOD_DEVAMSIZ))</f>
        <v/>
      </c>
      <c r="F13" s="76">
        <f>IF($B13="","",SUMPRODUCT(COUNTIF($H13:$BO13,KOD)*KOD_IZIN))</f>
        <v/>
      </c>
      <c r="G13" s="76">
        <f>IF($B13="","",SUM(I13,K13,M13,O13,Q13,S13,U13,W13,Y13,AA13,AC13,AE13,AG13,AI13,AK13,AM13,AO13,AQ13,AS13,AU13,AW13,AY13,BA13,BC13,BE13,BG13,BI13,BK13,BM13,BO13))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IF($B14="","",SUMPRODUCT(COUNTIF($H14:$BO14,KOD)*KOD_GUN))</f>
        <v/>
      </c>
      <c r="E14" s="76">
        <f>IF($B14="","",SUMPRODUCT(COUNTIF($H14:$BO14,KOD)*KOD_DEVAMSIZ))</f>
        <v/>
      </c>
      <c r="F14" s="76">
        <f>IF($B14="","",SUMPRODUCT(COUNTIF($H14:$BO14,KOD)*KOD_IZIN))</f>
        <v/>
      </c>
      <c r="G14" s="76">
        <f>IF($B14="","",SUM(I14,K14,M14,O14,Q14,S14,U14,W14,Y14,AA14,AC14,AE14,AG14,AI14,AK14,AM14,AO14,AQ14,AS14,AU14,AW14,AY14,BA14,BC14,BE14,BG14,BI14,BK14,BM14,BO14))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IF($B15="","",SUMPRODUCT(COUNTIF($H15:$BO15,KOD)*KOD_GUN))</f>
        <v/>
      </c>
      <c r="E15" s="76">
        <f>IF($B15="","",SUMPRODUCT(COUNTIF($H15:$BO15,KOD)*KOD_DEVAMSIZ))</f>
        <v/>
      </c>
      <c r="F15" s="76">
        <f>IF($B15="","",SUMPRODUCT(COUNTIF($H15:$BO15,KOD)*KOD_IZIN))</f>
        <v/>
      </c>
      <c r="G15" s="76">
        <f>IF($B15="","",SUM(I15,K15,M15,O15,Q15,S15,U15,W15,Y15,AA15,AC15,AE15,AG15,AI15,AK15,AM15,AO15,AQ15,AS15,AU15,AW15,AY15,BA15,BC15,BE15,BG15,BI15,BK15,BM15,BO15))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IF($B16="","",SUMPRODUCT(COUNTIF($H16:$BO16,KOD)*KOD_GUN))</f>
        <v/>
      </c>
      <c r="E16" s="76">
        <f>IF($B16="","",SUMPRODUCT(COUNTIF($H16:$BO16,KOD)*KOD_DEVAMSIZ))</f>
        <v/>
      </c>
      <c r="F16" s="76">
        <f>IF($B16="","",SUMPRODUCT(COUNTIF($H16:$BO16,KOD)*KOD_IZIN))</f>
        <v/>
      </c>
      <c r="G16" s="76">
        <f>IF($B16="","",SUM(I16,K16,M16,O16,Q16,S16,U16,W16,Y16,AA16,AC16,AE16,AG16,AI16,AK16,AM16,AO16,AQ16,AS16,AU16,AW16,AY16,BA16,BC16,BE16,BG16,BI16,BK16,BM16,BO16))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IF($B17="","",SUMPRODUCT(COUNTIF($H17:$BO17,KOD)*KOD_GUN))</f>
        <v/>
      </c>
      <c r="E17" s="76">
        <f>IF($B17="","",SUMPRODUCT(COUNTIF($H17:$BO17,KOD)*KOD_DEVAMSIZ))</f>
        <v/>
      </c>
      <c r="F17" s="76">
        <f>IF($B17="","",SUMPRODUCT(COUNTIF($H17:$BO17,KOD)*KOD_IZIN))</f>
        <v/>
      </c>
      <c r="G17" s="76">
        <f>IF($B17="","",SUM(I17,K17,M17,O17,Q17,S17,U17,W17,Y17,AA17,AC17,AE17,AG17,AI17,AK17,AM17,AO17,AQ17,AS17,AU17,AW17,AY17,BA17,BC17,BE17,BG17,BI17,BK17,BM17,BO17))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IF($B18="","",SUMPRODUCT(COUNTIF($H18:$BO18,KOD)*KOD_GUN))</f>
        <v/>
      </c>
      <c r="E18" s="76">
        <f>IF($B18="","",SUMPRODUCT(COUNTIF($H18:$BO18,KOD)*KOD_DEVAMSIZ))</f>
        <v/>
      </c>
      <c r="F18" s="76">
        <f>IF($B18="","",SUMPRODUCT(COUNTIF($H18:$BO18,KOD)*KOD_IZIN))</f>
        <v/>
      </c>
      <c r="G18" s="76">
        <f>IF($B18="","",SUM(I18,K18,M18,O18,Q18,S18,U18,W18,Y18,AA18,AC18,AE18,AG18,AI18,AK18,AM18,AO18,AQ18,AS18,AU18,AW18,AY18,BA18,BC18,BE18,BG18,BI18,BK18,BM18,BO18))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IF($B19="","",SUMPRODUCT(COUNTIF($H19:$BO19,KOD)*KOD_GUN))</f>
        <v/>
      </c>
      <c r="E19" s="76">
        <f>IF($B19="","",SUMPRODUCT(COUNTIF($H19:$BO19,KOD)*KOD_DEVAMSIZ))</f>
        <v/>
      </c>
      <c r="F19" s="76">
        <f>IF($B19="","",SUMPRODUCT(COUNTIF($H19:$BO19,KOD)*KOD_IZIN))</f>
        <v/>
      </c>
      <c r="G19" s="76">
        <f>IF($B19="","",SUM(I19,K19,M19,O19,Q19,S19,U19,W19,Y19,AA19,AC19,AE19,AG19,AI19,AK19,AM19,AO19,AQ19,AS19,AU19,AW19,AY19,BA19,BC19,BE19,BG19,BI19,BK19,BM19,BO19))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IF($B20="","",SUMPRODUCT(COUNTIF($H20:$BO20,KOD)*KOD_GUN))</f>
        <v/>
      </c>
      <c r="E20" s="76">
        <f>IF($B20="","",SUMPRODUCT(COUNTIF($H20:$BO20,KOD)*KOD_DEVAMSIZ))</f>
        <v/>
      </c>
      <c r="F20" s="76">
        <f>IF($B20="","",SUMPRODUCT(COUNTIF($H20:$BO20,KOD)*KOD_IZIN))</f>
        <v/>
      </c>
      <c r="G20" s="76">
        <f>IF($B20="","",SUM(I20,K20,M20,O20,Q20,S20,U20,W20,Y20,AA20,AC20,AE20,AG20,AI20,AK20,AM20,AO20,AQ20,AS20,AU20,AW20,AY20,BA20,BC20,BE20,BG20,BI20,BK20,BM20,BO20))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IF($B21="","",SUMPRODUCT(COUNTIF($H21:$BO21,KOD)*KOD_GUN))</f>
        <v/>
      </c>
      <c r="E21" s="76">
        <f>IF($B21="","",SUMPRODUCT(COUNTIF($H21:$BO21,KOD)*KOD_DEVAMSIZ))</f>
        <v/>
      </c>
      <c r="F21" s="76">
        <f>IF($B21="","",SUMPRODUCT(COUNTIF($H21:$BO21,KOD)*KOD_IZIN))</f>
        <v/>
      </c>
      <c r="G21" s="76">
        <f>IF($B21="","",SUM(I21,K21,M21,O21,Q21,S21,U21,W21,Y21,AA21,AC21,AE21,AG21,AI21,AK21,AM21,AO21,AQ21,AS21,AU21,AW21,AY21,BA21,BC21,BE21,BG21,BI21,BK21,BM21,BO21))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IF($B22="","",SUMPRODUCT(COUNTIF($H22:$BO22,KOD)*KOD_GUN))</f>
        <v/>
      </c>
      <c r="E22" s="76">
        <f>IF($B22="","",SUMPRODUCT(COUNTIF($H22:$BO22,KOD)*KOD_DEVAMSIZ))</f>
        <v/>
      </c>
      <c r="F22" s="76">
        <f>IF($B22="","",SUMPRODUCT(COUNTIF($H22:$BO22,KOD)*KOD_IZIN))</f>
        <v/>
      </c>
      <c r="G22" s="76">
        <f>IF($B22="","",SUM(I22,K22,M22,O22,Q22,S22,U22,W22,Y22,AA22,AC22,AE22,AG22,AI22,AK22,AM22,AO22,AQ22,AS22,AU22,AW22,AY22,BA22,BC22,BE22,BG22,BI22,BK22,BM22,BO22))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IF($B23="","",SUMPRODUCT(COUNTIF($H23:$BO23,KOD)*KOD_GUN))</f>
        <v/>
      </c>
      <c r="E23" s="76">
        <f>IF($B23="","",SUMPRODUCT(COUNTIF($H23:$BO23,KOD)*KOD_DEVAMSIZ))</f>
        <v/>
      </c>
      <c r="F23" s="76">
        <f>IF($B23="","",SUMPRODUCT(COUNTIF($H23:$BO23,KOD)*KOD_IZIN))</f>
        <v/>
      </c>
      <c r="G23" s="76">
        <f>IF($B23="","",SUM(I23,K23,M23,O23,Q23,S23,U23,W23,Y23,AA23,AC23,AE23,AG23,AI23,AK23,AM23,AO23,AQ23,AS23,AU23,AW23,AY23,BA23,BC23,BE23,BG23,BI23,BK23,BM23,BO23))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IF($B24="","",SUMPRODUCT(COUNTIF($H24:$BO24,KOD)*KOD_GUN))</f>
        <v/>
      </c>
      <c r="E24" s="76">
        <f>IF($B24="","",SUMPRODUCT(COUNTIF($H24:$BO24,KOD)*KOD_DEVAMSIZ))</f>
        <v/>
      </c>
      <c r="F24" s="76">
        <f>IF($B24="","",SUMPRODUCT(COUNTIF($H24:$BO24,KOD)*KOD_IZIN))</f>
        <v/>
      </c>
      <c r="G24" s="76">
        <f>IF($B24="","",SUM(I24,K24,M24,O24,Q24,S24,U24,W24,Y24,AA24,AC24,AE24,AG24,AI24,AK24,AM24,AO24,AQ24,AS24,AU24,AW24,AY24,BA24,BC24,BE24,BG24,BI24,BK24,BM24,BO24))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IF($B25="","",SUMPRODUCT(COUNTIF($H25:$BO25,KOD)*KOD_GUN))</f>
        <v/>
      </c>
      <c r="E25" s="76">
        <f>IF($B25="","",SUMPRODUCT(COUNTIF($H25:$BO25,KOD)*KOD_DEVAMSIZ))</f>
        <v/>
      </c>
      <c r="F25" s="76">
        <f>IF($B25="","",SUMPRODUCT(COUNTIF($H25:$BO25,KOD)*KOD_IZIN))</f>
        <v/>
      </c>
      <c r="G25" s="76">
        <f>IF($B25="","",SUM(I25,K25,M25,O25,Q25,S25,U25,W25,Y25,AA25,AC25,AE25,AG25,AI25,AK25,AM25,AO25,AQ25,AS25,AU25,AW25,AY25,BA25,BC25,BE25,BG25,BI25,BK25,BM25,BO25))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IF($B26="","",SUMPRODUCT(COUNTIF($H26:$BO26,KOD)*KOD_GUN))</f>
        <v/>
      </c>
      <c r="E26" s="76">
        <f>IF($B26="","",SUMPRODUCT(COUNTIF($H26:$BO26,KOD)*KOD_DEVAMSIZ))</f>
        <v/>
      </c>
      <c r="F26" s="76">
        <f>IF($B26="","",SUMPRODUCT(COUNTIF($H26:$BO26,KOD)*KOD_IZIN))</f>
        <v/>
      </c>
      <c r="G26" s="76">
        <f>IF($B26="","",SUM(I26,K26,M26,O26,Q26,S26,U26,W26,Y26,AA26,AC26,AE26,AG26,AI26,AK26,AM26,AO26,AQ26,AS26,AU26,AW26,AY26,BA26,BC26,BE26,BG26,BI26,BK26,BM26,BO26))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IF($B27="","",SUMPRODUCT(COUNTIF($H27:$BO27,KOD)*KOD_GUN))</f>
        <v/>
      </c>
      <c r="E27" s="76">
        <f>IF($B27="","",SUMPRODUCT(COUNTIF($H27:$BO27,KOD)*KOD_DEVAMSIZ))</f>
        <v/>
      </c>
      <c r="F27" s="76">
        <f>IF($B27="","",SUMPRODUCT(COUNTIF($H27:$BO27,KOD)*KOD_IZIN))</f>
        <v/>
      </c>
      <c r="G27" s="76">
        <f>IF($B27="","",SUM(I27,K27,M27,O27,Q27,S27,U27,W27,Y27,AA27,AC27,AE27,AG27,AI27,AK27,AM27,AO27,AQ27,AS27,AU27,AW27,AY27,BA27,BC27,BE27,BG27,BI27,BK27,BM27,BO27))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IF($B28="","",SUMPRODUCT(COUNTIF($H28:$BO28,KOD)*KOD_GUN))</f>
        <v/>
      </c>
      <c r="E28" s="76">
        <f>IF($B28="","",SUMPRODUCT(COUNTIF($H28:$BO28,KOD)*KOD_DEVAMSIZ))</f>
        <v/>
      </c>
      <c r="F28" s="76">
        <f>IF($B28="","",SUMPRODUCT(COUNTIF($H28:$BO28,KOD)*KOD_IZIN))</f>
        <v/>
      </c>
      <c r="G28" s="76">
        <f>IF($B28="","",SUM(I28,K28,M28,O28,Q28,S28,U28,W28,Y28,AA28,AC28,AE28,AG28,AI28,AK28,AM28,AO28,AQ28,AS28,AU28,AW28,AY28,BA28,BC28,BE28,BG28,BI28,BK28,BM28,BO28))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IF($B29="","",SUMPRODUCT(COUNTIF($H29:$BO29,KOD)*KOD_GUN))</f>
        <v/>
      </c>
      <c r="E29" s="76">
        <f>IF($B29="","",SUMPRODUCT(COUNTIF($H29:$BO29,KOD)*KOD_DEVAMSIZ))</f>
        <v/>
      </c>
      <c r="F29" s="76">
        <f>IF($B29="","",SUMPRODUCT(COUNTIF($H29:$BO29,KOD)*KOD_IZIN))</f>
        <v/>
      </c>
      <c r="G29" s="76">
        <f>IF($B29="","",SUM(I29,K29,M29,O29,Q29,S29,U29,W29,Y29,AA29,AC29,AE29,AG29,AI29,AK29,AM29,AO29,AQ29,AS29,AU29,AW29,AY29,BA29,BC29,BE29,BG29,BI29,BK29,BM29,BO29))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IF($B30="","",SUMPRODUCT(COUNTIF($H30:$BO30,KOD)*KOD_GUN))</f>
        <v/>
      </c>
      <c r="E30" s="76">
        <f>IF($B30="","",SUMPRODUCT(COUNTIF($H30:$BO30,KOD)*KOD_DEVAMSIZ))</f>
        <v/>
      </c>
      <c r="F30" s="76">
        <f>IF($B30="","",SUMPRODUCT(COUNTIF($H30:$BO30,KOD)*KOD_IZIN))</f>
        <v/>
      </c>
      <c r="G30" s="76">
        <f>IF($B30="","",SUM(I30,K30,M30,O30,Q30,S30,U30,W30,Y30,AA30,AC30,AE30,AG30,AI30,AK30,AM30,AO30,AQ30,AS30,AU30,AW30,AY30,BA30,BC30,BE30,BG30,BI30,BK30,BM30,BO30))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</row>
  </sheetData>
  <mergeCells count="141">
    <mergeCell ref="AD3:AE3"/>
    <mergeCell ref="AN3:AO3"/>
    <mergeCell ref="AP3:AQ3"/>
    <mergeCell ref="L3:M3"/>
    <mergeCell ref="AT3:AU3"/>
    <mergeCell ref="BD3:BE3"/>
    <mergeCell ref="N3:O3"/>
    <mergeCell ref="AV3:AW3"/>
    <mergeCell ref="BN3:BO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H31:I31"/>
    <mergeCell ref="Z32:AA32"/>
    <mergeCell ref="BH32:BI32"/>
    <mergeCell ref="AB32:AC32"/>
    <mergeCell ref="AF4:AG4"/>
    <mergeCell ref="AH4:AI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A1:BO1"/>
    <mergeCell ref="D3:D5"/>
    <mergeCell ref="AR3:AS3"/>
    <mergeCell ref="AB3:AC3"/>
  </mergeCells>
  <conditionalFormatting sqref="H6:BO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OR(AND(INDEX(PL_GIRIS,(ROW(H6)-5))&lt;&gt;"",(DATE(2026,6,1)+INT((COLUMN(H6)-8)/2))&lt;INDEX(PL_GIRIS,(ROW(H6)-5))),AND(INDEX(PL_CIKIS,(ROW(H6)-5))&lt;&gt;"",(DATE(2026,6,1)+INT((COLUMN(H6)-8)/2))&gt;INDEX(PL_CIKIS,(ROW(H6)-5))))</formula>
    </cfRule>
    <cfRule type="expression" priority="8" dxfId="8">
      <formula>OR(WEEKDAY((DATE(2026,6,1)+INT((COLUMN(H6)-8)/2)),2)=7,COUNTIF(TATIL,(DATE(2026,6,1)+INT((COLUMN(H6)-8)/2)))&gt;0)</formula>
    </cfRule>
  </conditionalFormatting>
  <conditionalFormatting sqref="H3:BO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TEMMUZ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46204</v>
      </c>
      <c r="I3" s="67" t="n"/>
      <c r="J3" s="68" t="n">
        <v>46205</v>
      </c>
      <c r="K3" s="67" t="n"/>
      <c r="L3" s="68" t="n">
        <v>46206</v>
      </c>
      <c r="M3" s="67" t="n"/>
      <c r="N3" s="68" t="n">
        <v>46207</v>
      </c>
      <c r="O3" s="67" t="n"/>
      <c r="P3" s="68" t="n">
        <v>46208</v>
      </c>
      <c r="Q3" s="67" t="n"/>
      <c r="R3" s="68" t="n">
        <v>46209</v>
      </c>
      <c r="S3" s="67" t="n"/>
      <c r="T3" s="68" t="n">
        <v>46210</v>
      </c>
      <c r="U3" s="67" t="n"/>
      <c r="V3" s="68" t="n">
        <v>46211</v>
      </c>
      <c r="W3" s="67" t="n"/>
      <c r="X3" s="68" t="n">
        <v>46212</v>
      </c>
      <c r="Y3" s="67" t="n"/>
      <c r="Z3" s="68" t="n">
        <v>46213</v>
      </c>
      <c r="AA3" s="67" t="n"/>
      <c r="AB3" s="68" t="n">
        <v>46214</v>
      </c>
      <c r="AC3" s="67" t="n"/>
      <c r="AD3" s="68" t="n">
        <v>46215</v>
      </c>
      <c r="AE3" s="67" t="n"/>
      <c r="AF3" s="68" t="n">
        <v>46216</v>
      </c>
      <c r="AG3" s="67" t="n"/>
      <c r="AH3" s="68" t="n">
        <v>46217</v>
      </c>
      <c r="AI3" s="67" t="n"/>
      <c r="AJ3" s="68" t="n">
        <v>46218</v>
      </c>
      <c r="AK3" s="67" t="n"/>
      <c r="AL3" s="68" t="n">
        <v>46219</v>
      </c>
      <c r="AM3" s="67" t="n"/>
      <c r="AN3" s="68" t="n">
        <v>46220</v>
      </c>
      <c r="AO3" s="67" t="n"/>
      <c r="AP3" s="68" t="n">
        <v>46221</v>
      </c>
      <c r="AQ3" s="67" t="n"/>
      <c r="AR3" s="68" t="n">
        <v>46222</v>
      </c>
      <c r="AS3" s="67" t="n"/>
      <c r="AT3" s="68" t="n">
        <v>46223</v>
      </c>
      <c r="AU3" s="67" t="n"/>
      <c r="AV3" s="68" t="n">
        <v>46224</v>
      </c>
      <c r="AW3" s="67" t="n"/>
      <c r="AX3" s="68" t="n">
        <v>46225</v>
      </c>
      <c r="AY3" s="67" t="n"/>
      <c r="AZ3" s="68" t="n">
        <v>46226</v>
      </c>
      <c r="BA3" s="67" t="n"/>
      <c r="BB3" s="68" t="n">
        <v>46227</v>
      </c>
      <c r="BC3" s="67" t="n"/>
      <c r="BD3" s="68" t="n">
        <v>46228</v>
      </c>
      <c r="BE3" s="67" t="n"/>
      <c r="BF3" s="68" t="n">
        <v>46229</v>
      </c>
      <c r="BG3" s="67" t="n"/>
      <c r="BH3" s="68" t="n">
        <v>46230</v>
      </c>
      <c r="BI3" s="67" t="n"/>
      <c r="BJ3" s="68" t="n">
        <v>46231</v>
      </c>
      <c r="BK3" s="67" t="n"/>
      <c r="BL3" s="68" t="n">
        <v>46232</v>
      </c>
      <c r="BM3" s="67" t="n"/>
      <c r="BN3" s="68" t="n">
        <v>46233</v>
      </c>
      <c r="BO3" s="67" t="n"/>
      <c r="BP3" s="68" t="n">
        <v>46234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46204</v>
      </c>
      <c r="I4" s="70" t="n"/>
      <c r="J4" s="71" t="n">
        <v>46205</v>
      </c>
      <c r="K4" s="70" t="n"/>
      <c r="L4" s="71" t="n">
        <v>46206</v>
      </c>
      <c r="M4" s="70" t="n"/>
      <c r="N4" s="71" t="n">
        <v>46207</v>
      </c>
      <c r="O4" s="70" t="n"/>
      <c r="P4" s="71" t="n">
        <v>46208</v>
      </c>
      <c r="Q4" s="70" t="n"/>
      <c r="R4" s="71" t="n">
        <v>46209</v>
      </c>
      <c r="S4" s="70" t="n"/>
      <c r="T4" s="71" t="n">
        <v>46210</v>
      </c>
      <c r="U4" s="70" t="n"/>
      <c r="V4" s="71" t="n">
        <v>46211</v>
      </c>
      <c r="W4" s="70" t="n"/>
      <c r="X4" s="71" t="n">
        <v>46212</v>
      </c>
      <c r="Y4" s="70" t="n"/>
      <c r="Z4" s="71" t="n">
        <v>46213</v>
      </c>
      <c r="AA4" s="70" t="n"/>
      <c r="AB4" s="71" t="n">
        <v>46214</v>
      </c>
      <c r="AC4" s="70" t="n"/>
      <c r="AD4" s="71" t="n">
        <v>46215</v>
      </c>
      <c r="AE4" s="70" t="n"/>
      <c r="AF4" s="71" t="n">
        <v>46216</v>
      </c>
      <c r="AG4" s="70" t="n"/>
      <c r="AH4" s="71" t="n">
        <v>46217</v>
      </c>
      <c r="AI4" s="70" t="n"/>
      <c r="AJ4" s="71" t="n">
        <v>46218</v>
      </c>
      <c r="AK4" s="70" t="n"/>
      <c r="AL4" s="71" t="n">
        <v>46219</v>
      </c>
      <c r="AM4" s="70" t="n"/>
      <c r="AN4" s="71" t="n">
        <v>46220</v>
      </c>
      <c r="AO4" s="70" t="n"/>
      <c r="AP4" s="71" t="n">
        <v>46221</v>
      </c>
      <c r="AQ4" s="70" t="n"/>
      <c r="AR4" s="71" t="n">
        <v>46222</v>
      </c>
      <c r="AS4" s="70" t="n"/>
      <c r="AT4" s="71" t="n">
        <v>46223</v>
      </c>
      <c r="AU4" s="70" t="n"/>
      <c r="AV4" s="71" t="n">
        <v>46224</v>
      </c>
      <c r="AW4" s="70" t="n"/>
      <c r="AX4" s="71" t="n">
        <v>46225</v>
      </c>
      <c r="AY4" s="70" t="n"/>
      <c r="AZ4" s="71" t="n">
        <v>46226</v>
      </c>
      <c r="BA4" s="70" t="n"/>
      <c r="BB4" s="71" t="n">
        <v>46227</v>
      </c>
      <c r="BC4" s="70" t="n"/>
      <c r="BD4" s="71" t="n">
        <v>46228</v>
      </c>
      <c r="BE4" s="70" t="n"/>
      <c r="BF4" s="71" t="n">
        <v>46229</v>
      </c>
      <c r="BG4" s="70" t="n"/>
      <c r="BH4" s="71" t="n">
        <v>46230</v>
      </c>
      <c r="BI4" s="70" t="n"/>
      <c r="BJ4" s="71" t="n">
        <v>46231</v>
      </c>
      <c r="BK4" s="70" t="n"/>
      <c r="BL4" s="71" t="n">
        <v>46232</v>
      </c>
      <c r="BM4" s="70" t="n"/>
      <c r="BN4" s="71" t="n">
        <v>46233</v>
      </c>
      <c r="BO4" s="70" t="n"/>
      <c r="BP4" s="71" t="n">
        <v>46234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OR(AND(INDEX(PL_GIRIS,(ROW(H6)-5))&lt;&gt;"",(DATE(2026,7,1)+INT((COLUMN(H6)-8)/2))&lt;INDEX(PL_GIRIS,(ROW(H6)-5))),AND(INDEX(PL_CIKIS,(ROW(H6)-5))&lt;&gt;"",(DATE(2026,7,1)+INT((COLUMN(H6)-8)/2))&gt;INDEX(PL_CIKIS,(ROW(H6)-5))))</formula>
    </cfRule>
    <cfRule type="expression" priority="8" dxfId="8">
      <formula>OR(WEEKDAY((DATE(2026,7,1)+INT((COLUMN(H6)-8)/2)),2)=7,COUNTIF(TATIL,(DATE(2026,7,1)+INT((COLUMN(H6)-8)/2)))&gt;0)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AĞUSTOS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46235</v>
      </c>
      <c r="I3" s="67" t="n"/>
      <c r="J3" s="68" t="n">
        <v>46236</v>
      </c>
      <c r="K3" s="67" t="n"/>
      <c r="L3" s="68" t="n">
        <v>46237</v>
      </c>
      <c r="M3" s="67" t="n"/>
      <c r="N3" s="68" t="n">
        <v>46238</v>
      </c>
      <c r="O3" s="67" t="n"/>
      <c r="P3" s="68" t="n">
        <v>46239</v>
      </c>
      <c r="Q3" s="67" t="n"/>
      <c r="R3" s="68" t="n">
        <v>46240</v>
      </c>
      <c r="S3" s="67" t="n"/>
      <c r="T3" s="68" t="n">
        <v>46241</v>
      </c>
      <c r="U3" s="67" t="n"/>
      <c r="V3" s="68" t="n">
        <v>46242</v>
      </c>
      <c r="W3" s="67" t="n"/>
      <c r="X3" s="68" t="n">
        <v>46243</v>
      </c>
      <c r="Y3" s="67" t="n"/>
      <c r="Z3" s="68" t="n">
        <v>46244</v>
      </c>
      <c r="AA3" s="67" t="n"/>
      <c r="AB3" s="68" t="n">
        <v>46245</v>
      </c>
      <c r="AC3" s="67" t="n"/>
      <c r="AD3" s="68" t="n">
        <v>46246</v>
      </c>
      <c r="AE3" s="67" t="n"/>
      <c r="AF3" s="68" t="n">
        <v>46247</v>
      </c>
      <c r="AG3" s="67" t="n"/>
      <c r="AH3" s="68" t="n">
        <v>46248</v>
      </c>
      <c r="AI3" s="67" t="n"/>
      <c r="AJ3" s="68" t="n">
        <v>46249</v>
      </c>
      <c r="AK3" s="67" t="n"/>
      <c r="AL3" s="68" t="n">
        <v>46250</v>
      </c>
      <c r="AM3" s="67" t="n"/>
      <c r="AN3" s="68" t="n">
        <v>46251</v>
      </c>
      <c r="AO3" s="67" t="n"/>
      <c r="AP3" s="68" t="n">
        <v>46252</v>
      </c>
      <c r="AQ3" s="67" t="n"/>
      <c r="AR3" s="68" t="n">
        <v>46253</v>
      </c>
      <c r="AS3" s="67" t="n"/>
      <c r="AT3" s="68" t="n">
        <v>46254</v>
      </c>
      <c r="AU3" s="67" t="n"/>
      <c r="AV3" s="68" t="n">
        <v>46255</v>
      </c>
      <c r="AW3" s="67" t="n"/>
      <c r="AX3" s="68" t="n">
        <v>46256</v>
      </c>
      <c r="AY3" s="67" t="n"/>
      <c r="AZ3" s="68" t="n">
        <v>46257</v>
      </c>
      <c r="BA3" s="67" t="n"/>
      <c r="BB3" s="68" t="n">
        <v>46258</v>
      </c>
      <c r="BC3" s="67" t="n"/>
      <c r="BD3" s="68" t="n">
        <v>46259</v>
      </c>
      <c r="BE3" s="67" t="n"/>
      <c r="BF3" s="68" t="n">
        <v>46260</v>
      </c>
      <c r="BG3" s="67" t="n"/>
      <c r="BH3" s="68" t="n">
        <v>46261</v>
      </c>
      <c r="BI3" s="67" t="n"/>
      <c r="BJ3" s="68" t="n">
        <v>46262</v>
      </c>
      <c r="BK3" s="67" t="n"/>
      <c r="BL3" s="68" t="n">
        <v>46263</v>
      </c>
      <c r="BM3" s="67" t="n"/>
      <c r="BN3" s="68" t="n">
        <v>46264</v>
      </c>
      <c r="BO3" s="67" t="n"/>
      <c r="BP3" s="68" t="n">
        <v>46265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46235</v>
      </c>
      <c r="I4" s="70" t="n"/>
      <c r="J4" s="71" t="n">
        <v>46236</v>
      </c>
      <c r="K4" s="70" t="n"/>
      <c r="L4" s="71" t="n">
        <v>46237</v>
      </c>
      <c r="M4" s="70" t="n"/>
      <c r="N4" s="71" t="n">
        <v>46238</v>
      </c>
      <c r="O4" s="70" t="n"/>
      <c r="P4" s="71" t="n">
        <v>46239</v>
      </c>
      <c r="Q4" s="70" t="n"/>
      <c r="R4" s="71" t="n">
        <v>46240</v>
      </c>
      <c r="S4" s="70" t="n"/>
      <c r="T4" s="71" t="n">
        <v>46241</v>
      </c>
      <c r="U4" s="70" t="n"/>
      <c r="V4" s="71" t="n">
        <v>46242</v>
      </c>
      <c r="W4" s="70" t="n"/>
      <c r="X4" s="71" t="n">
        <v>46243</v>
      </c>
      <c r="Y4" s="70" t="n"/>
      <c r="Z4" s="71" t="n">
        <v>46244</v>
      </c>
      <c r="AA4" s="70" t="n"/>
      <c r="AB4" s="71" t="n">
        <v>46245</v>
      </c>
      <c r="AC4" s="70" t="n"/>
      <c r="AD4" s="71" t="n">
        <v>46246</v>
      </c>
      <c r="AE4" s="70" t="n"/>
      <c r="AF4" s="71" t="n">
        <v>46247</v>
      </c>
      <c r="AG4" s="70" t="n"/>
      <c r="AH4" s="71" t="n">
        <v>46248</v>
      </c>
      <c r="AI4" s="70" t="n"/>
      <c r="AJ4" s="71" t="n">
        <v>46249</v>
      </c>
      <c r="AK4" s="70" t="n"/>
      <c r="AL4" s="71" t="n">
        <v>46250</v>
      </c>
      <c r="AM4" s="70" t="n"/>
      <c r="AN4" s="71" t="n">
        <v>46251</v>
      </c>
      <c r="AO4" s="70" t="n"/>
      <c r="AP4" s="71" t="n">
        <v>46252</v>
      </c>
      <c r="AQ4" s="70" t="n"/>
      <c r="AR4" s="71" t="n">
        <v>46253</v>
      </c>
      <c r="AS4" s="70" t="n"/>
      <c r="AT4" s="71" t="n">
        <v>46254</v>
      </c>
      <c r="AU4" s="70" t="n"/>
      <c r="AV4" s="71" t="n">
        <v>46255</v>
      </c>
      <c r="AW4" s="70" t="n"/>
      <c r="AX4" s="71" t="n">
        <v>46256</v>
      </c>
      <c r="AY4" s="70" t="n"/>
      <c r="AZ4" s="71" t="n">
        <v>46257</v>
      </c>
      <c r="BA4" s="70" t="n"/>
      <c r="BB4" s="71" t="n">
        <v>46258</v>
      </c>
      <c r="BC4" s="70" t="n"/>
      <c r="BD4" s="71" t="n">
        <v>46259</v>
      </c>
      <c r="BE4" s="70" t="n"/>
      <c r="BF4" s="71" t="n">
        <v>46260</v>
      </c>
      <c r="BG4" s="70" t="n"/>
      <c r="BH4" s="71" t="n">
        <v>46261</v>
      </c>
      <c r="BI4" s="70" t="n"/>
      <c r="BJ4" s="71" t="n">
        <v>46262</v>
      </c>
      <c r="BK4" s="70" t="n"/>
      <c r="BL4" s="71" t="n">
        <v>46263</v>
      </c>
      <c r="BM4" s="70" t="n"/>
      <c r="BN4" s="71" t="n">
        <v>46264</v>
      </c>
      <c r="BO4" s="70" t="n"/>
      <c r="BP4" s="71" t="n">
        <v>46265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OR(AND(INDEX(PL_GIRIS,(ROW(H6)-5))&lt;&gt;"",(DATE(2026,8,1)+INT((COLUMN(H6)-8)/2))&lt;INDEX(PL_GIRIS,(ROW(H6)-5))),AND(INDEX(PL_CIKIS,(ROW(H6)-5))&lt;&gt;"",(DATE(2026,8,1)+INT((COLUMN(H6)-8)/2))&gt;INDEX(PL_CIKIS,(ROW(H6)-5))))</formula>
    </cfRule>
    <cfRule type="expression" priority="8" dxfId="8">
      <formula>OR(WEEKDAY((DATE(2026,8,1)+INT((COLUMN(H6)-8)/2)),2)=7,COUNTIF(TATIL,(DATE(2026,8,1)+INT((COLUMN(H6)-8)/2)))&gt;0)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O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</cols>
  <sheetData>
    <row r="1" ht="36" customHeight="1">
      <c r="A1" s="1" t="inlineStr">
        <is>
          <t>EYLÜL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46266</v>
      </c>
      <c r="I3" s="67" t="n"/>
      <c r="J3" s="68" t="n">
        <v>46267</v>
      </c>
      <c r="K3" s="67" t="n"/>
      <c r="L3" s="68" t="n">
        <v>46268</v>
      </c>
      <c r="M3" s="67" t="n"/>
      <c r="N3" s="68" t="n">
        <v>46269</v>
      </c>
      <c r="O3" s="67" t="n"/>
      <c r="P3" s="68" t="n">
        <v>46270</v>
      </c>
      <c r="Q3" s="67" t="n"/>
      <c r="R3" s="68" t="n">
        <v>46271</v>
      </c>
      <c r="S3" s="67" t="n"/>
      <c r="T3" s="68" t="n">
        <v>46272</v>
      </c>
      <c r="U3" s="67" t="n"/>
      <c r="V3" s="68" t="n">
        <v>46273</v>
      </c>
      <c r="W3" s="67" t="n"/>
      <c r="X3" s="68" t="n">
        <v>46274</v>
      </c>
      <c r="Y3" s="67" t="n"/>
      <c r="Z3" s="68" t="n">
        <v>46275</v>
      </c>
      <c r="AA3" s="67" t="n"/>
      <c r="AB3" s="68" t="n">
        <v>46276</v>
      </c>
      <c r="AC3" s="67" t="n"/>
      <c r="AD3" s="68" t="n">
        <v>46277</v>
      </c>
      <c r="AE3" s="67" t="n"/>
      <c r="AF3" s="68" t="n">
        <v>46278</v>
      </c>
      <c r="AG3" s="67" t="n"/>
      <c r="AH3" s="68" t="n">
        <v>46279</v>
      </c>
      <c r="AI3" s="67" t="n"/>
      <c r="AJ3" s="68" t="n">
        <v>46280</v>
      </c>
      <c r="AK3" s="67" t="n"/>
      <c r="AL3" s="68" t="n">
        <v>46281</v>
      </c>
      <c r="AM3" s="67" t="n"/>
      <c r="AN3" s="68" t="n">
        <v>46282</v>
      </c>
      <c r="AO3" s="67" t="n"/>
      <c r="AP3" s="68" t="n">
        <v>46283</v>
      </c>
      <c r="AQ3" s="67" t="n"/>
      <c r="AR3" s="68" t="n">
        <v>46284</v>
      </c>
      <c r="AS3" s="67" t="n"/>
      <c r="AT3" s="68" t="n">
        <v>46285</v>
      </c>
      <c r="AU3" s="67" t="n"/>
      <c r="AV3" s="68" t="n">
        <v>46286</v>
      </c>
      <c r="AW3" s="67" t="n"/>
      <c r="AX3" s="68" t="n">
        <v>46287</v>
      </c>
      <c r="AY3" s="67" t="n"/>
      <c r="AZ3" s="68" t="n">
        <v>46288</v>
      </c>
      <c r="BA3" s="67" t="n"/>
      <c r="BB3" s="68" t="n">
        <v>46289</v>
      </c>
      <c r="BC3" s="67" t="n"/>
      <c r="BD3" s="68" t="n">
        <v>46290</v>
      </c>
      <c r="BE3" s="67" t="n"/>
      <c r="BF3" s="68" t="n">
        <v>46291</v>
      </c>
      <c r="BG3" s="67" t="n"/>
      <c r="BH3" s="68" t="n">
        <v>46292</v>
      </c>
      <c r="BI3" s="67" t="n"/>
      <c r="BJ3" s="68" t="n">
        <v>46293</v>
      </c>
      <c r="BK3" s="67" t="n"/>
      <c r="BL3" s="68" t="n">
        <v>46294</v>
      </c>
      <c r="BM3" s="67" t="n"/>
      <c r="BN3" s="68" t="n">
        <v>46295</v>
      </c>
      <c r="BO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46266</v>
      </c>
      <c r="I4" s="70" t="n"/>
      <c r="J4" s="71" t="n">
        <v>46267</v>
      </c>
      <c r="K4" s="70" t="n"/>
      <c r="L4" s="71" t="n">
        <v>46268</v>
      </c>
      <c r="M4" s="70" t="n"/>
      <c r="N4" s="71" t="n">
        <v>46269</v>
      </c>
      <c r="O4" s="70" t="n"/>
      <c r="P4" s="71" t="n">
        <v>46270</v>
      </c>
      <c r="Q4" s="70" t="n"/>
      <c r="R4" s="71" t="n">
        <v>46271</v>
      </c>
      <c r="S4" s="70" t="n"/>
      <c r="T4" s="71" t="n">
        <v>46272</v>
      </c>
      <c r="U4" s="70" t="n"/>
      <c r="V4" s="71" t="n">
        <v>46273</v>
      </c>
      <c r="W4" s="70" t="n"/>
      <c r="X4" s="71" t="n">
        <v>46274</v>
      </c>
      <c r="Y4" s="70" t="n"/>
      <c r="Z4" s="71" t="n">
        <v>46275</v>
      </c>
      <c r="AA4" s="70" t="n"/>
      <c r="AB4" s="71" t="n">
        <v>46276</v>
      </c>
      <c r="AC4" s="70" t="n"/>
      <c r="AD4" s="71" t="n">
        <v>46277</v>
      </c>
      <c r="AE4" s="70" t="n"/>
      <c r="AF4" s="71" t="n">
        <v>46278</v>
      </c>
      <c r="AG4" s="70" t="n"/>
      <c r="AH4" s="71" t="n">
        <v>46279</v>
      </c>
      <c r="AI4" s="70" t="n"/>
      <c r="AJ4" s="71" t="n">
        <v>46280</v>
      </c>
      <c r="AK4" s="70" t="n"/>
      <c r="AL4" s="71" t="n">
        <v>46281</v>
      </c>
      <c r="AM4" s="70" t="n"/>
      <c r="AN4" s="71" t="n">
        <v>46282</v>
      </c>
      <c r="AO4" s="70" t="n"/>
      <c r="AP4" s="71" t="n">
        <v>46283</v>
      </c>
      <c r="AQ4" s="70" t="n"/>
      <c r="AR4" s="71" t="n">
        <v>46284</v>
      </c>
      <c r="AS4" s="70" t="n"/>
      <c r="AT4" s="71" t="n">
        <v>46285</v>
      </c>
      <c r="AU4" s="70" t="n"/>
      <c r="AV4" s="71" t="n">
        <v>46286</v>
      </c>
      <c r="AW4" s="70" t="n"/>
      <c r="AX4" s="71" t="n">
        <v>46287</v>
      </c>
      <c r="AY4" s="70" t="n"/>
      <c r="AZ4" s="71" t="n">
        <v>46288</v>
      </c>
      <c r="BA4" s="70" t="n"/>
      <c r="BB4" s="71" t="n">
        <v>46289</v>
      </c>
      <c r="BC4" s="70" t="n"/>
      <c r="BD4" s="71" t="n">
        <v>46290</v>
      </c>
      <c r="BE4" s="70" t="n"/>
      <c r="BF4" s="71" t="n">
        <v>46291</v>
      </c>
      <c r="BG4" s="70" t="n"/>
      <c r="BH4" s="71" t="n">
        <v>46292</v>
      </c>
      <c r="BI4" s="70" t="n"/>
      <c r="BJ4" s="71" t="n">
        <v>46293</v>
      </c>
      <c r="BK4" s="70" t="n"/>
      <c r="BL4" s="71" t="n">
        <v>46294</v>
      </c>
      <c r="BM4" s="70" t="n"/>
      <c r="BN4" s="71" t="n">
        <v>46295</v>
      </c>
      <c r="BO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IF($B6="","",SUMPRODUCT(COUNTIF($H6:$BO6,KOD)*KOD_GUN))</f>
        <v/>
      </c>
      <c r="E6" s="76">
        <f>IF($B6="","",SUMPRODUCT(COUNTIF($H6:$BO6,KOD)*KOD_DEVAMSIZ))</f>
        <v/>
      </c>
      <c r="F6" s="76">
        <f>IF($B6="","",SUMPRODUCT(COUNTIF($H6:$BO6,KOD)*KOD_IZIN))</f>
        <v/>
      </c>
      <c r="G6" s="76">
        <f>IF($B6="","",SUM(I6,K6,M6,O6,Q6,S6,U6,W6,Y6,AA6,AC6,AE6,AG6,AI6,AK6,AM6,AO6,AQ6,AS6,AU6,AW6,AY6,BA6,BC6,BE6,BG6,BI6,BK6,BM6,BO6))</f>
        <v/>
      </c>
      <c r="H6" s="77" t="inlineStr">
        <is>
          <t>Y</t>
        </is>
      </c>
      <c r="I6" s="78" t="n"/>
      <c r="J6" s="79" t="inlineStr">
        <is>
          <t>X</t>
        </is>
      </c>
      <c r="K6" s="78" t="n"/>
      <c r="L6" s="79" t="inlineStr">
        <is>
          <t>X</t>
        </is>
      </c>
      <c r="M6" s="78" t="n"/>
      <c r="N6" s="79" t="inlineStr">
        <is>
          <t>X</t>
        </is>
      </c>
      <c r="O6" s="78" t="n"/>
      <c r="P6" s="79" t="inlineStr">
        <is>
          <t>X</t>
        </is>
      </c>
      <c r="Q6" s="78" t="n"/>
      <c r="R6" s="79" t="n"/>
      <c r="S6" s="78" t="n"/>
      <c r="T6" s="79" t="inlineStr">
        <is>
          <t>X</t>
        </is>
      </c>
      <c r="U6" s="78" t="n"/>
      <c r="V6" s="79" t="inlineStr">
        <is>
          <t>X</t>
        </is>
      </c>
      <c r="W6" s="78" t="n"/>
      <c r="X6" s="79" t="inlineStr">
        <is>
          <t>X</t>
        </is>
      </c>
      <c r="Y6" s="78" t="n">
        <v>3</v>
      </c>
      <c r="Z6" s="79" t="inlineStr">
        <is>
          <t>X</t>
        </is>
      </c>
      <c r="AA6" s="78" t="n">
        <v>5.5</v>
      </c>
      <c r="AB6" s="79" t="inlineStr">
        <is>
          <t>X</t>
        </is>
      </c>
      <c r="AC6" s="78" t="n"/>
      <c r="AD6" s="79" t="inlineStr">
        <is>
          <t>X</t>
        </is>
      </c>
      <c r="AE6" s="78" t="n"/>
      <c r="AF6" s="79" t="n"/>
      <c r="AG6" s="78" t="n"/>
      <c r="AH6" s="79" t="inlineStr">
        <is>
          <t>X</t>
        </is>
      </c>
      <c r="AI6" s="78" t="n"/>
      <c r="AJ6" s="79" t="inlineStr">
        <is>
          <t>X</t>
        </is>
      </c>
      <c r="AK6" s="78" t="n"/>
      <c r="AL6" s="79" t="inlineStr">
        <is>
          <t>X</t>
        </is>
      </c>
      <c r="AM6" s="78" t="n"/>
      <c r="AN6" s="79" t="inlineStr">
        <is>
          <t>X</t>
        </is>
      </c>
      <c r="AO6" s="78" t="n"/>
      <c r="AP6" s="79" t="inlineStr">
        <is>
          <t>Y</t>
        </is>
      </c>
      <c r="AQ6" s="78" t="n"/>
      <c r="AR6" s="79" t="inlineStr">
        <is>
          <t>X</t>
        </is>
      </c>
      <c r="AS6" s="78" t="n"/>
      <c r="AT6" s="79" t="n"/>
      <c r="AU6" s="78" t="n"/>
      <c r="AV6" s="79" t="inlineStr">
        <is>
          <t>X</t>
        </is>
      </c>
      <c r="AW6" s="78" t="n"/>
      <c r="AX6" s="79" t="inlineStr">
        <is>
          <t>X</t>
        </is>
      </c>
      <c r="AY6" s="78" t="n"/>
      <c r="AZ6" s="79" t="inlineStr">
        <is>
          <t>X</t>
        </is>
      </c>
      <c r="BA6" s="78" t="n"/>
      <c r="BB6" s="79" t="inlineStr">
        <is>
          <t>X</t>
        </is>
      </c>
      <c r="BC6" s="78" t="n">
        <v>4</v>
      </c>
      <c r="BD6" s="79" t="inlineStr">
        <is>
          <t>X</t>
        </is>
      </c>
      <c r="BE6" s="78" t="n"/>
      <c r="BF6" s="79" t="inlineStr">
        <is>
          <t>X</t>
        </is>
      </c>
      <c r="BG6" s="78" t="n"/>
      <c r="BH6" s="79" t="inlineStr">
        <is>
          <t>X</t>
        </is>
      </c>
      <c r="BI6" s="78" t="n"/>
      <c r="BJ6" s="79" t="inlineStr">
        <is>
          <t>X</t>
        </is>
      </c>
      <c r="BK6" s="78" t="n"/>
      <c r="BL6" s="79" t="inlineStr">
        <is>
          <t>X</t>
        </is>
      </c>
      <c r="BM6" s="78" t="n"/>
      <c r="BN6" s="79" t="inlineStr">
        <is>
          <t>X</t>
        </is>
      </c>
      <c r="BO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IF($B7="","",SUMPRODUCT(COUNTIF($H7:$BO7,KOD)*KOD_GUN))</f>
        <v/>
      </c>
      <c r="E7" s="76">
        <f>IF($B7="","",SUMPRODUCT(COUNTIF($H7:$BO7,KOD)*KOD_DEVAMSIZ))</f>
        <v/>
      </c>
      <c r="F7" s="76">
        <f>IF($B7="","",SUMPRODUCT(COUNTIF($H7:$BO7,KOD)*KOD_IZIN))</f>
        <v/>
      </c>
      <c r="G7" s="76">
        <f>IF($B7="","",SUM(I7,K7,M7,O7,Q7,S7,U7,W7,Y7,AA7,AC7,AE7,AG7,AI7,AK7,AM7,AO7,AQ7,AS7,AU7,AW7,AY7,BA7,BC7,BE7,BG7,BI7,BK7,BM7,BO7))</f>
        <v/>
      </c>
      <c r="H7" s="81" t="inlineStr">
        <is>
          <t>X</t>
        </is>
      </c>
      <c r="I7" s="82" t="n"/>
      <c r="J7" s="83" t="inlineStr">
        <is>
          <t>X</t>
        </is>
      </c>
      <c r="K7" s="82" t="n"/>
      <c r="L7" s="83" t="inlineStr">
        <is>
          <t>X</t>
        </is>
      </c>
      <c r="M7" s="82" t="n"/>
      <c r="N7" s="83" t="inlineStr">
        <is>
          <t>X</t>
        </is>
      </c>
      <c r="O7" s="82" t="n"/>
      <c r="P7" s="83" t="inlineStr">
        <is>
          <t>X</t>
        </is>
      </c>
      <c r="Q7" s="82" t="n"/>
      <c r="R7" s="83" t="n"/>
      <c r="S7" s="82" t="n"/>
      <c r="T7" s="83" t="inlineStr">
        <is>
          <t>X</t>
        </is>
      </c>
      <c r="U7" s="82" t="n"/>
      <c r="V7" s="83" t="inlineStr">
        <is>
          <t>X</t>
        </is>
      </c>
      <c r="W7" s="82" t="n"/>
      <c r="X7" s="83" t="inlineStr">
        <is>
          <t>X</t>
        </is>
      </c>
      <c r="Y7" s="82" t="n"/>
      <c r="Z7" s="83" t="inlineStr">
        <is>
          <t>X</t>
        </is>
      </c>
      <c r="AA7" s="82" t="n"/>
      <c r="AB7" s="83" t="inlineStr">
        <is>
          <t>X</t>
        </is>
      </c>
      <c r="AC7" s="82" t="n">
        <v>4</v>
      </c>
      <c r="AD7" s="83" t="inlineStr">
        <is>
          <t>X</t>
        </is>
      </c>
      <c r="AE7" s="82" t="n"/>
      <c r="AF7" s="83" t="n"/>
      <c r="AG7" s="82" t="n"/>
      <c r="AH7" s="83" t="inlineStr">
        <is>
          <t>X</t>
        </is>
      </c>
      <c r="AI7" s="82" t="n"/>
      <c r="AJ7" s="83" t="inlineStr">
        <is>
          <t>X</t>
        </is>
      </c>
      <c r="AK7" s="82" t="n"/>
      <c r="AL7" s="83" t="inlineStr">
        <is>
          <t>X</t>
        </is>
      </c>
      <c r="AM7" s="82" t="n"/>
      <c r="AN7" s="83" t="inlineStr">
        <is>
          <t>X</t>
        </is>
      </c>
      <c r="AO7" s="82" t="n"/>
      <c r="AP7" s="83" t="inlineStr">
        <is>
          <t>X</t>
        </is>
      </c>
      <c r="AQ7" s="82" t="n"/>
      <c r="AR7" s="83" t="inlineStr">
        <is>
          <t>X</t>
        </is>
      </c>
      <c r="AS7" s="82" t="n"/>
      <c r="AT7" s="83" t="n"/>
      <c r="AU7" s="82" t="n"/>
      <c r="AV7" s="83" t="inlineStr">
        <is>
          <t>X</t>
        </is>
      </c>
      <c r="AW7" s="82" t="n"/>
      <c r="AX7" s="83" t="inlineStr">
        <is>
          <t>X</t>
        </is>
      </c>
      <c r="AY7" s="82" t="n">
        <v>2</v>
      </c>
      <c r="AZ7" s="83" t="inlineStr">
        <is>
          <t>X</t>
        </is>
      </c>
      <c r="BA7" s="82" t="n">
        <v>3.5</v>
      </c>
      <c r="BB7" s="83" t="inlineStr">
        <is>
          <t>X</t>
        </is>
      </c>
      <c r="BC7" s="82" t="n">
        <v>4</v>
      </c>
      <c r="BD7" s="83" t="inlineStr">
        <is>
          <t>X</t>
        </is>
      </c>
      <c r="BE7" s="82" t="n"/>
      <c r="BF7" s="83" t="inlineStr">
        <is>
          <t>X</t>
        </is>
      </c>
      <c r="BG7" s="82" t="n"/>
      <c r="BH7" s="83" t="inlineStr">
        <is>
          <t>X</t>
        </is>
      </c>
      <c r="BI7" s="82" t="n"/>
      <c r="BJ7" s="83" t="inlineStr">
        <is>
          <t>X</t>
        </is>
      </c>
      <c r="BK7" s="82" t="n"/>
      <c r="BL7" s="83" t="inlineStr">
        <is>
          <t>X</t>
        </is>
      </c>
      <c r="BM7" s="82" t="n"/>
      <c r="BN7" s="83" t="inlineStr">
        <is>
          <t>X</t>
        </is>
      </c>
      <c r="BO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IF($B8="","",SUMPRODUCT(COUNTIF($H8:$BO8,KOD)*KOD_GUN))</f>
        <v/>
      </c>
      <c r="E8" s="76">
        <f>IF($B8="","",SUMPRODUCT(COUNTIF($H8:$BO8,KOD)*KOD_DEVAMSIZ))</f>
        <v/>
      </c>
      <c r="F8" s="76">
        <f>IF($B8="","",SUMPRODUCT(COUNTIF($H8:$BO8,KOD)*KOD_IZIN))</f>
        <v/>
      </c>
      <c r="G8" s="76">
        <f>IF($B8="","",SUM(I8,K8,M8,O8,Q8,S8,U8,W8,Y8,AA8,AC8,AE8,AG8,AI8,AK8,AM8,AO8,AQ8,AS8,AU8,AW8,AY8,BA8,BC8,BE8,BG8,BI8,BK8,BM8,BO8))</f>
        <v/>
      </c>
      <c r="H8" s="77" t="inlineStr">
        <is>
          <t>X</t>
        </is>
      </c>
      <c r="I8" s="78" t="n"/>
      <c r="J8" s="79" t="inlineStr">
        <is>
          <t>X</t>
        </is>
      </c>
      <c r="K8" s="78" t="n"/>
      <c r="L8" s="79" t="inlineStr">
        <is>
          <t>X</t>
        </is>
      </c>
      <c r="M8" s="78" t="n"/>
      <c r="N8" s="79" t="inlineStr">
        <is>
          <t>X</t>
        </is>
      </c>
      <c r="O8" s="78" t="n"/>
      <c r="P8" s="79" t="inlineStr">
        <is>
          <t>X</t>
        </is>
      </c>
      <c r="Q8" s="78" t="n"/>
      <c r="R8" s="79" t="n"/>
      <c r="S8" s="78" t="n"/>
      <c r="T8" s="79" t="inlineStr">
        <is>
          <t>X</t>
        </is>
      </c>
      <c r="U8" s="78" t="n"/>
      <c r="V8" s="79" t="inlineStr">
        <is>
          <t>X</t>
        </is>
      </c>
      <c r="W8" s="78" t="n"/>
      <c r="X8" s="79" t="inlineStr">
        <is>
          <t>X</t>
        </is>
      </c>
      <c r="Y8" s="78" t="n"/>
      <c r="Z8" s="79" t="inlineStr">
        <is>
          <t>X</t>
        </is>
      </c>
      <c r="AA8" s="78" t="n"/>
      <c r="AB8" s="79" t="inlineStr">
        <is>
          <t>X</t>
        </is>
      </c>
      <c r="AC8" s="78" t="n"/>
      <c r="AD8" s="79" t="inlineStr">
        <is>
          <t>X</t>
        </is>
      </c>
      <c r="AE8" s="78" t="n"/>
      <c r="AF8" s="79" t="n"/>
      <c r="AG8" s="78" t="n"/>
      <c r="AH8" s="79" t="inlineStr">
        <is>
          <t>X</t>
        </is>
      </c>
      <c r="AI8" s="78" t="n"/>
      <c r="AJ8" s="79" t="inlineStr">
        <is>
          <t>X</t>
        </is>
      </c>
      <c r="AK8" s="78" t="n"/>
      <c r="AL8" s="79" t="inlineStr">
        <is>
          <t>X</t>
        </is>
      </c>
      <c r="AM8" s="78" t="n"/>
      <c r="AN8" s="79" t="inlineStr">
        <is>
          <t>X</t>
        </is>
      </c>
      <c r="AO8" s="78" t="n"/>
      <c r="AP8" s="79" t="inlineStr">
        <is>
          <t>X</t>
        </is>
      </c>
      <c r="AQ8" s="78" t="n"/>
      <c r="AR8" s="79" t="inlineStr">
        <is>
          <t>X</t>
        </is>
      </c>
      <c r="AS8" s="78" t="n"/>
      <c r="AT8" s="79" t="n"/>
      <c r="AU8" s="78" t="n"/>
      <c r="AV8" s="79" t="inlineStr">
        <is>
          <t>X</t>
        </is>
      </c>
      <c r="AW8" s="78" t="n"/>
      <c r="AX8" s="79" t="inlineStr">
        <is>
          <t>X</t>
        </is>
      </c>
      <c r="AY8" s="78" t="n"/>
      <c r="AZ8" s="79" t="inlineStr">
        <is>
          <t>X</t>
        </is>
      </c>
      <c r="BA8" s="78" t="n"/>
      <c r="BB8" s="79" t="inlineStr">
        <is>
          <t>Y</t>
        </is>
      </c>
      <c r="BC8" s="78" t="n"/>
      <c r="BD8" s="79" t="inlineStr">
        <is>
          <t>Y</t>
        </is>
      </c>
      <c r="BE8" s="78" t="n"/>
      <c r="BF8" s="79" t="inlineStr">
        <is>
          <t>Y</t>
        </is>
      </c>
      <c r="BG8" s="78" t="n"/>
      <c r="BH8" s="79" t="inlineStr">
        <is>
          <t>X</t>
        </is>
      </c>
      <c r="BI8" s="78" t="n"/>
      <c r="BJ8" s="79" t="inlineStr">
        <is>
          <t>X</t>
        </is>
      </c>
      <c r="BK8" s="78" t="n"/>
      <c r="BL8" s="79" t="inlineStr">
        <is>
          <t>X</t>
        </is>
      </c>
      <c r="BM8" s="78" t="n"/>
      <c r="BN8" s="79" t="inlineStr">
        <is>
          <t>X</t>
        </is>
      </c>
      <c r="BO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IF($B9="","",SUMPRODUCT(COUNTIF($H9:$BO9,KOD)*KOD_GUN))</f>
        <v/>
      </c>
      <c r="E9" s="76">
        <f>IF($B9="","",SUMPRODUCT(COUNTIF($H9:$BO9,KOD)*KOD_DEVAMSIZ))</f>
        <v/>
      </c>
      <c r="F9" s="76">
        <f>IF($B9="","",SUMPRODUCT(COUNTIF($H9:$BO9,KOD)*KOD_IZIN))</f>
        <v/>
      </c>
      <c r="G9" s="76">
        <f>IF($B9="","",SUM(I9,K9,M9,O9,Q9,S9,U9,W9,Y9,AA9,AC9,AE9,AG9,AI9,AK9,AM9,AO9,AQ9,AS9,AU9,AW9,AY9,BA9,BC9,BE9,BG9,BI9,BK9,BM9,BO9))</f>
        <v/>
      </c>
      <c r="H9" s="81" t="inlineStr">
        <is>
          <t>X</t>
        </is>
      </c>
      <c r="I9" s="82" t="n"/>
      <c r="J9" s="83" t="inlineStr">
        <is>
          <t>X</t>
        </is>
      </c>
      <c r="K9" s="82" t="n"/>
      <c r="L9" s="83" t="inlineStr">
        <is>
          <t>X</t>
        </is>
      </c>
      <c r="M9" s="82" t="n"/>
      <c r="N9" s="83" t="inlineStr">
        <is>
          <t>X</t>
        </is>
      </c>
      <c r="O9" s="82" t="n"/>
      <c r="P9" s="83" t="inlineStr">
        <is>
          <t>Y</t>
        </is>
      </c>
      <c r="Q9" s="82" t="n"/>
      <c r="R9" s="83" t="n"/>
      <c r="S9" s="82" t="n"/>
      <c r="T9" s="83" t="inlineStr">
        <is>
          <t>X</t>
        </is>
      </c>
      <c r="U9" s="82" t="n"/>
      <c r="V9" s="83" t="inlineStr">
        <is>
          <t>X</t>
        </is>
      </c>
      <c r="W9" s="82" t="n"/>
      <c r="X9" s="83" t="inlineStr">
        <is>
          <t>X</t>
        </is>
      </c>
      <c r="Y9" s="82" t="n">
        <v>3</v>
      </c>
      <c r="Z9" s="83" t="inlineStr">
        <is>
          <t>X</t>
        </is>
      </c>
      <c r="AA9" s="82" t="n">
        <v>5.5</v>
      </c>
      <c r="AB9" s="83" t="inlineStr">
        <is>
          <t>X</t>
        </is>
      </c>
      <c r="AC9" s="82" t="n">
        <v>4.5</v>
      </c>
      <c r="AD9" s="83" t="inlineStr">
        <is>
          <t>X</t>
        </is>
      </c>
      <c r="AE9" s="82" t="n"/>
      <c r="AF9" s="83" t="n"/>
      <c r="AG9" s="82" t="n"/>
      <c r="AH9" s="83" t="inlineStr">
        <is>
          <t>X</t>
        </is>
      </c>
      <c r="AI9" s="82" t="n"/>
      <c r="AJ9" s="83" t="inlineStr">
        <is>
          <t>X</t>
        </is>
      </c>
      <c r="AK9" s="82" t="n"/>
      <c r="AL9" s="83" t="inlineStr">
        <is>
          <t>X</t>
        </is>
      </c>
      <c r="AM9" s="82" t="n"/>
      <c r="AN9" s="83" t="inlineStr">
        <is>
          <t>X</t>
        </is>
      </c>
      <c r="AO9" s="82" t="n"/>
      <c r="AP9" s="83" t="inlineStr">
        <is>
          <t>X</t>
        </is>
      </c>
      <c r="AQ9" s="82" t="n"/>
      <c r="AR9" s="83" t="inlineStr">
        <is>
          <t>X</t>
        </is>
      </c>
      <c r="AS9" s="82" t="n"/>
      <c r="AT9" s="83" t="n"/>
      <c r="AU9" s="82" t="n"/>
      <c r="AV9" s="83" t="inlineStr">
        <is>
          <t>X</t>
        </is>
      </c>
      <c r="AW9" s="82" t="n"/>
      <c r="AX9" s="83" t="inlineStr">
        <is>
          <t>X</t>
        </is>
      </c>
      <c r="AY9" s="82" t="n">
        <v>2</v>
      </c>
      <c r="AZ9" s="83" t="inlineStr">
        <is>
          <t>X</t>
        </is>
      </c>
      <c r="BA9" s="82" t="n">
        <v>3.5</v>
      </c>
      <c r="BB9" s="83" t="inlineStr">
        <is>
          <t>X</t>
        </is>
      </c>
      <c r="BC9" s="82" t="n"/>
      <c r="BD9" s="83" t="inlineStr">
        <is>
          <t>X</t>
        </is>
      </c>
      <c r="BE9" s="82" t="n"/>
      <c r="BF9" s="83" t="inlineStr">
        <is>
          <t>X</t>
        </is>
      </c>
      <c r="BG9" s="82" t="n"/>
      <c r="BH9" s="83" t="inlineStr">
        <is>
          <t>X</t>
        </is>
      </c>
      <c r="BI9" s="82" t="n"/>
      <c r="BJ9" s="83" t="inlineStr">
        <is>
          <t>X</t>
        </is>
      </c>
      <c r="BK9" s="82" t="n"/>
      <c r="BL9" s="83" t="inlineStr">
        <is>
          <t>Y</t>
        </is>
      </c>
      <c r="BM9" s="82" t="n"/>
      <c r="BN9" s="83" t="inlineStr">
        <is>
          <t>X</t>
        </is>
      </c>
      <c r="BO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IF($B10="","",SUMPRODUCT(COUNTIF($H10:$BO10,KOD)*KOD_GUN))</f>
        <v/>
      </c>
      <c r="E10" s="76">
        <f>IF($B10="","",SUMPRODUCT(COUNTIF($H10:$BO10,KOD)*KOD_DEVAMSIZ))</f>
        <v/>
      </c>
      <c r="F10" s="76">
        <f>IF($B10="","",SUMPRODUCT(COUNTIF($H10:$BO10,KOD)*KOD_IZIN))</f>
        <v/>
      </c>
      <c r="G10" s="76">
        <f>IF($B10="","",SUM(I10,K10,M10,O10,Q10,S10,U10,W10,Y10,AA10,AC10,AE10,AG10,AI10,AK10,AM10,AO10,AQ10,AS10,AU10,AW10,AY10,BA10,BC10,BE10,BG10,BI10,BK10,BM10,BO10))</f>
        <v/>
      </c>
      <c r="H10" s="77" t="inlineStr">
        <is>
          <t>X</t>
        </is>
      </c>
      <c r="I10" s="78" t="n"/>
      <c r="J10" s="79" t="inlineStr">
        <is>
          <t>X</t>
        </is>
      </c>
      <c r="K10" s="78" t="n"/>
      <c r="L10" s="79" t="inlineStr">
        <is>
          <t>X</t>
        </is>
      </c>
      <c r="M10" s="78" t="n"/>
      <c r="N10" s="79" t="inlineStr">
        <is>
          <t>X</t>
        </is>
      </c>
      <c r="O10" s="78" t="n"/>
      <c r="P10" s="79" t="inlineStr">
        <is>
          <t>X</t>
        </is>
      </c>
      <c r="Q10" s="78" t="n"/>
      <c r="R10" s="79" t="n"/>
      <c r="S10" s="78" t="n"/>
      <c r="T10" s="79" t="inlineStr">
        <is>
          <t>X</t>
        </is>
      </c>
      <c r="U10" s="78" t="n"/>
      <c r="V10" s="79" t="inlineStr">
        <is>
          <t>X</t>
        </is>
      </c>
      <c r="W10" s="78" t="n"/>
      <c r="X10" s="79" t="inlineStr">
        <is>
          <t>X</t>
        </is>
      </c>
      <c r="Y10" s="78" t="n"/>
      <c r="Z10" s="79" t="inlineStr">
        <is>
          <t>X</t>
        </is>
      </c>
      <c r="AA10" s="78" t="n">
        <v>5.5</v>
      </c>
      <c r="AB10" s="79" t="inlineStr">
        <is>
          <t>X</t>
        </is>
      </c>
      <c r="AC10" s="78" t="n">
        <v>4</v>
      </c>
      <c r="AD10" s="79" t="inlineStr">
        <is>
          <t>X</t>
        </is>
      </c>
      <c r="AE10" s="78" t="n"/>
      <c r="AF10" s="79" t="n"/>
      <c r="AG10" s="78" t="n"/>
      <c r="AH10" s="79" t="inlineStr">
        <is>
          <t>X</t>
        </is>
      </c>
      <c r="AI10" s="78" t="n"/>
      <c r="AJ10" s="79" t="inlineStr">
        <is>
          <t>X</t>
        </is>
      </c>
      <c r="AK10" s="78" t="n"/>
      <c r="AL10" s="79" t="inlineStr">
        <is>
          <t>X</t>
        </is>
      </c>
      <c r="AM10" s="78" t="n"/>
      <c r="AN10" s="79" t="inlineStr">
        <is>
          <t>X</t>
        </is>
      </c>
      <c r="AO10" s="78" t="n"/>
      <c r="AP10" s="79" t="inlineStr">
        <is>
          <t>X</t>
        </is>
      </c>
      <c r="AQ10" s="78" t="n"/>
      <c r="AR10" s="79" t="inlineStr">
        <is>
          <t>X</t>
        </is>
      </c>
      <c r="AS10" s="78" t="n"/>
      <c r="AT10" s="79" t="n"/>
      <c r="AU10" s="78" t="n"/>
      <c r="AV10" s="79" t="inlineStr">
        <is>
          <t>X</t>
        </is>
      </c>
      <c r="AW10" s="78" t="n"/>
      <c r="AX10" s="79" t="inlineStr">
        <is>
          <t>X</t>
        </is>
      </c>
      <c r="AY10" s="78" t="n">
        <v>2</v>
      </c>
      <c r="AZ10" s="79" t="inlineStr">
        <is>
          <t>X</t>
        </is>
      </c>
      <c r="BA10" s="78" t="n">
        <v>3.5</v>
      </c>
      <c r="BB10" s="79" t="inlineStr">
        <is>
          <t>X</t>
        </is>
      </c>
      <c r="BC10" s="78" t="n">
        <v>4</v>
      </c>
      <c r="BD10" s="79" t="inlineStr">
        <is>
          <t>X</t>
        </is>
      </c>
      <c r="BE10" s="78" t="n"/>
      <c r="BF10" s="79" t="inlineStr">
        <is>
          <t>X</t>
        </is>
      </c>
      <c r="BG10" s="78" t="n"/>
      <c r="BH10" s="79" t="inlineStr">
        <is>
          <t>X</t>
        </is>
      </c>
      <c r="BI10" s="78" t="n"/>
      <c r="BJ10" s="79" t="inlineStr">
        <is>
          <t>X</t>
        </is>
      </c>
      <c r="BK10" s="78" t="n"/>
      <c r="BL10" s="79" t="inlineStr">
        <is>
          <t>X</t>
        </is>
      </c>
      <c r="BM10" s="78" t="n"/>
      <c r="BN10" s="79" t="inlineStr">
        <is>
          <t>X</t>
        </is>
      </c>
      <c r="BO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IF($B11="","",SUMPRODUCT(COUNTIF($H11:$BO11,KOD)*KOD_GUN))</f>
        <v/>
      </c>
      <c r="E11" s="76">
        <f>IF($B11="","",SUMPRODUCT(COUNTIF($H11:$BO11,KOD)*KOD_DEVAMSIZ))</f>
        <v/>
      </c>
      <c r="F11" s="76">
        <f>IF($B11="","",SUMPRODUCT(COUNTIF($H11:$BO11,KOD)*KOD_IZIN))</f>
        <v/>
      </c>
      <c r="G11" s="76">
        <f>IF($B11="","",SUM(I11,K11,M11,O11,Q11,S11,U11,W11,Y11,AA11,AC11,AE11,AG11,AI11,AK11,AM11,AO11,AQ11,AS11,AU11,AW11,AY11,BA11,BC11,BE11,BG11,BI11,BK11,BM11,BO11))</f>
        <v/>
      </c>
      <c r="H11" s="81" t="inlineStr">
        <is>
          <t>X</t>
        </is>
      </c>
      <c r="I11" s="82" t="n"/>
      <c r="J11" s="83" t="inlineStr">
        <is>
          <t>X</t>
        </is>
      </c>
      <c r="K11" s="82" t="n"/>
      <c r="L11" s="83" t="inlineStr">
        <is>
          <t>X</t>
        </is>
      </c>
      <c r="M11" s="82" t="n"/>
      <c r="N11" s="83" t="inlineStr">
        <is>
          <t>X</t>
        </is>
      </c>
      <c r="O11" s="82" t="n"/>
      <c r="P11" s="83" t="inlineStr">
        <is>
          <t>X</t>
        </is>
      </c>
      <c r="Q11" s="82" t="n"/>
      <c r="R11" s="83" t="n"/>
      <c r="S11" s="82" t="n"/>
      <c r="T11" s="83" t="inlineStr">
        <is>
          <t>X</t>
        </is>
      </c>
      <c r="U11" s="82" t="n"/>
      <c r="V11" s="83" t="inlineStr">
        <is>
          <t>X</t>
        </is>
      </c>
      <c r="W11" s="82" t="n"/>
      <c r="X11" s="83" t="inlineStr">
        <is>
          <t>X</t>
        </is>
      </c>
      <c r="Y11" s="82" t="n"/>
      <c r="Z11" s="83" t="inlineStr">
        <is>
          <t>X</t>
        </is>
      </c>
      <c r="AA11" s="82" t="n"/>
      <c r="AB11" s="83" t="inlineStr">
        <is>
          <t>X</t>
        </is>
      </c>
      <c r="AC11" s="82" t="n"/>
      <c r="AD11" s="83" t="inlineStr">
        <is>
          <t>X</t>
        </is>
      </c>
      <c r="AE11" s="82" t="n"/>
      <c r="AF11" s="83" t="n"/>
      <c r="AG11" s="82" t="n"/>
      <c r="AH11" s="83" t="inlineStr">
        <is>
          <t>X</t>
        </is>
      </c>
      <c r="AI11" s="82" t="n"/>
      <c r="AJ11" s="83" t="inlineStr">
        <is>
          <t>X</t>
        </is>
      </c>
      <c r="AK11" s="82" t="n"/>
      <c r="AL11" s="83" t="inlineStr">
        <is>
          <t>X</t>
        </is>
      </c>
      <c r="AM11" s="82" t="n"/>
      <c r="AN11" s="83" t="inlineStr">
        <is>
          <t>X</t>
        </is>
      </c>
      <c r="AO11" s="82" t="n"/>
      <c r="AP11" s="83" t="inlineStr">
        <is>
          <t>X</t>
        </is>
      </c>
      <c r="AQ11" s="82" t="n"/>
      <c r="AR11" s="83" t="inlineStr">
        <is>
          <t>X</t>
        </is>
      </c>
      <c r="AS11" s="82" t="n"/>
      <c r="AT11" s="83" t="n"/>
      <c r="AU11" s="82" t="n"/>
      <c r="AV11" s="83" t="inlineStr">
        <is>
          <t>X</t>
        </is>
      </c>
      <c r="AW11" s="82" t="n"/>
      <c r="AX11" s="83" t="inlineStr">
        <is>
          <t>X</t>
        </is>
      </c>
      <c r="AY11" s="82" t="n"/>
      <c r="AZ11" s="83" t="inlineStr">
        <is>
          <t>X</t>
        </is>
      </c>
      <c r="BA11" s="82" t="n"/>
      <c r="BB11" s="83" t="inlineStr">
        <is>
          <t>X</t>
        </is>
      </c>
      <c r="BC11" s="82" t="n"/>
      <c r="BD11" s="83" t="inlineStr">
        <is>
          <t>X</t>
        </is>
      </c>
      <c r="BE11" s="82" t="n"/>
      <c r="BF11" s="83" t="inlineStr">
        <is>
          <t>X</t>
        </is>
      </c>
      <c r="BG11" s="82" t="n"/>
      <c r="BH11" s="83" t="inlineStr">
        <is>
          <t>X</t>
        </is>
      </c>
      <c r="BI11" s="82" t="n"/>
      <c r="BJ11" s="83" t="inlineStr">
        <is>
          <t>X</t>
        </is>
      </c>
      <c r="BK11" s="82" t="n"/>
      <c r="BL11" s="83" t="inlineStr">
        <is>
          <t>X</t>
        </is>
      </c>
      <c r="BM11" s="82" t="n"/>
      <c r="BN11" s="83" t="inlineStr">
        <is>
          <t>X</t>
        </is>
      </c>
      <c r="BO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IF($B12="","",SUMPRODUCT(COUNTIF($H12:$BO12,KOD)*KOD_GUN))</f>
        <v/>
      </c>
      <c r="E12" s="76">
        <f>IF($B12="","",SUMPRODUCT(COUNTIF($H12:$BO12,KOD)*KOD_DEVAMSIZ))</f>
        <v/>
      </c>
      <c r="F12" s="76">
        <f>IF($B12="","",SUMPRODUCT(COUNTIF($H12:$BO12,KOD)*KOD_IZIN))</f>
        <v/>
      </c>
      <c r="G12" s="76">
        <f>IF($B12="","",SUM(I12,K12,M12,O12,Q12,S12,U12,W12,Y12,AA12,AC12,AE12,AG12,AI12,AK12,AM12,AO12,AQ12,AS12,AU12,AW12,AY12,BA12,BC12,BE12,BG12,BI12,BK12,BM12,BO12))</f>
        <v/>
      </c>
      <c r="H12" s="77" t="inlineStr">
        <is>
          <t>X</t>
        </is>
      </c>
      <c r="I12" s="78" t="n"/>
      <c r="J12" s="79" t="inlineStr">
        <is>
          <t>X</t>
        </is>
      </c>
      <c r="K12" s="78" t="n"/>
      <c r="L12" s="79" t="inlineStr">
        <is>
          <t>X</t>
        </is>
      </c>
      <c r="M12" s="78" t="n"/>
      <c r="N12" s="79" t="inlineStr">
        <is>
          <t>X</t>
        </is>
      </c>
      <c r="O12" s="78" t="n"/>
      <c r="P12" s="79" t="inlineStr">
        <is>
          <t>X</t>
        </is>
      </c>
      <c r="Q12" s="78" t="n"/>
      <c r="R12" s="79" t="n"/>
      <c r="S12" s="78" t="n"/>
      <c r="T12" s="79" t="inlineStr">
        <is>
          <t>X</t>
        </is>
      </c>
      <c r="U12" s="78" t="n"/>
      <c r="V12" s="79" t="inlineStr">
        <is>
          <t>X</t>
        </is>
      </c>
      <c r="W12" s="78" t="n"/>
      <c r="X12" s="79" t="inlineStr">
        <is>
          <t>X</t>
        </is>
      </c>
      <c r="Y12" s="78" t="n"/>
      <c r="Z12" s="79" t="inlineStr">
        <is>
          <t>X</t>
        </is>
      </c>
      <c r="AA12" s="78" t="n"/>
      <c r="AB12" s="79" t="inlineStr">
        <is>
          <t>X</t>
        </is>
      </c>
      <c r="AC12" s="78" t="n"/>
      <c r="AD12" s="79" t="inlineStr">
        <is>
          <t>X</t>
        </is>
      </c>
      <c r="AE12" s="78" t="n"/>
      <c r="AF12" s="79" t="n"/>
      <c r="AG12" s="78" t="n"/>
      <c r="AH12" s="79" t="inlineStr">
        <is>
          <t>X</t>
        </is>
      </c>
      <c r="AI12" s="78" t="n"/>
      <c r="AJ12" s="79" t="inlineStr">
        <is>
          <t>X</t>
        </is>
      </c>
      <c r="AK12" s="78" t="n"/>
      <c r="AL12" s="79" t="inlineStr">
        <is>
          <t>X</t>
        </is>
      </c>
      <c r="AM12" s="78" t="n"/>
      <c r="AN12" s="79" t="inlineStr">
        <is>
          <t>X</t>
        </is>
      </c>
      <c r="AO12" s="78" t="n"/>
      <c r="AP12" s="79" t="inlineStr">
        <is>
          <t>X</t>
        </is>
      </c>
      <c r="AQ12" s="78" t="n"/>
      <c r="AR12" s="79" t="inlineStr">
        <is>
          <t>X</t>
        </is>
      </c>
      <c r="AS12" s="78" t="n"/>
      <c r="AT12" s="79" t="n"/>
      <c r="AU12" s="78" t="n"/>
      <c r="AV12" s="79" t="inlineStr">
        <is>
          <t>X</t>
        </is>
      </c>
      <c r="AW12" s="78" t="n"/>
      <c r="AX12" s="79" t="inlineStr">
        <is>
          <t>X</t>
        </is>
      </c>
      <c r="AY12" s="78" t="n"/>
      <c r="AZ12" s="79" t="inlineStr">
        <is>
          <t>X</t>
        </is>
      </c>
      <c r="BA12" s="78" t="n"/>
      <c r="BB12" s="79" t="inlineStr">
        <is>
          <t>X</t>
        </is>
      </c>
      <c r="BC12" s="78" t="n"/>
      <c r="BD12" s="79" t="inlineStr">
        <is>
          <t>X</t>
        </is>
      </c>
      <c r="BE12" s="78" t="n"/>
      <c r="BF12" s="79" t="inlineStr">
        <is>
          <t>X</t>
        </is>
      </c>
      <c r="BG12" s="78" t="n"/>
      <c r="BH12" s="79" t="inlineStr">
        <is>
          <t>X</t>
        </is>
      </c>
      <c r="BI12" s="78" t="n"/>
      <c r="BJ12" s="79" t="inlineStr">
        <is>
          <t>X</t>
        </is>
      </c>
      <c r="BK12" s="78" t="n"/>
      <c r="BL12" s="79" t="inlineStr">
        <is>
          <t>X</t>
        </is>
      </c>
      <c r="BM12" s="78" t="n"/>
      <c r="BN12" s="79" t="inlineStr">
        <is>
          <t>X</t>
        </is>
      </c>
      <c r="BO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IF($B13="","",SUMPRODUCT(COUNTIF($H13:$BO13,KOD)*KOD_GUN))</f>
        <v/>
      </c>
      <c r="E13" s="76">
        <f>IF($B13="","",SUMPRODUCT(COUNTIF($H13:$BO13,KOD)*KOD_DEVAMSIZ))</f>
        <v/>
      </c>
      <c r="F13" s="76">
        <f>IF($B13="","",SUMPRODUCT(COUNTIF($H13:$BO13,KOD)*KOD_IZIN))</f>
        <v/>
      </c>
      <c r="G13" s="76">
        <f>IF($B13="","",SUM(I13,K13,M13,O13,Q13,S13,U13,W13,Y13,AA13,AC13,AE13,AG13,AI13,AK13,AM13,AO13,AQ13,AS13,AU13,AW13,AY13,BA13,BC13,BE13,BG13,BI13,BK13,BM13,BO13))</f>
        <v/>
      </c>
      <c r="H13" s="81" t="inlineStr">
        <is>
          <t>X</t>
        </is>
      </c>
      <c r="I13" s="82" t="n"/>
      <c r="J13" s="83" t="inlineStr">
        <is>
          <t>X</t>
        </is>
      </c>
      <c r="K13" s="82" t="n"/>
      <c r="L13" s="83" t="inlineStr">
        <is>
          <t>X</t>
        </is>
      </c>
      <c r="M13" s="82" t="n"/>
      <c r="N13" s="83" t="inlineStr">
        <is>
          <t>X</t>
        </is>
      </c>
      <c r="O13" s="82" t="n"/>
      <c r="P13" s="83" t="inlineStr">
        <is>
          <t>Y</t>
        </is>
      </c>
      <c r="Q13" s="82" t="n"/>
      <c r="R13" s="83" t="n"/>
      <c r="S13" s="82" t="n"/>
      <c r="T13" s="83" t="inlineStr">
        <is>
          <t>X</t>
        </is>
      </c>
      <c r="U13" s="82" t="n"/>
      <c r="V13" s="83" t="inlineStr">
        <is>
          <t>X</t>
        </is>
      </c>
      <c r="W13" s="82" t="n"/>
      <c r="X13" s="83" t="inlineStr">
        <is>
          <t>X</t>
        </is>
      </c>
      <c r="Y13" s="82" t="n"/>
      <c r="Z13" s="83" t="inlineStr">
        <is>
          <t>X</t>
        </is>
      </c>
      <c r="AA13" s="82" t="n"/>
      <c r="AB13" s="83" t="inlineStr">
        <is>
          <t>X</t>
        </is>
      </c>
      <c r="AC13" s="82" t="n"/>
      <c r="AD13" s="83" t="inlineStr">
        <is>
          <t>X</t>
        </is>
      </c>
      <c r="AE13" s="82" t="n"/>
      <c r="AF13" s="83" t="n"/>
      <c r="AG13" s="82" t="n"/>
      <c r="AH13" s="83" t="inlineStr">
        <is>
          <t>X</t>
        </is>
      </c>
      <c r="AI13" s="82" t="n"/>
      <c r="AJ13" s="83" t="inlineStr">
        <is>
          <t>X</t>
        </is>
      </c>
      <c r="AK13" s="82" t="n"/>
      <c r="AL13" s="83" t="inlineStr">
        <is>
          <t>X</t>
        </is>
      </c>
      <c r="AM13" s="82" t="n"/>
      <c r="AN13" s="83" t="inlineStr">
        <is>
          <t>X</t>
        </is>
      </c>
      <c r="AO13" s="82" t="n"/>
      <c r="AP13" s="83" t="inlineStr">
        <is>
          <t>X</t>
        </is>
      </c>
      <c r="AQ13" s="82" t="n"/>
      <c r="AR13" s="83" t="inlineStr">
        <is>
          <t>Y</t>
        </is>
      </c>
      <c r="AS13" s="82" t="n"/>
      <c r="AT13" s="83" t="n"/>
      <c r="AU13" s="82" t="n"/>
      <c r="AV13" s="83" t="inlineStr">
        <is>
          <t>X</t>
        </is>
      </c>
      <c r="AW13" s="82" t="n"/>
      <c r="AX13" s="83" t="inlineStr">
        <is>
          <t>X</t>
        </is>
      </c>
      <c r="AY13" s="82" t="n"/>
      <c r="AZ13" s="83" t="inlineStr">
        <is>
          <t>X</t>
        </is>
      </c>
      <c r="BA13" s="82" t="n"/>
      <c r="BB13" s="83" t="inlineStr">
        <is>
          <t>X</t>
        </is>
      </c>
      <c r="BC13" s="82" t="n"/>
      <c r="BD13" s="83" t="inlineStr">
        <is>
          <t>X</t>
        </is>
      </c>
      <c r="BE13" s="82" t="n"/>
      <c r="BF13" s="83" t="inlineStr">
        <is>
          <t>X</t>
        </is>
      </c>
      <c r="BG13" s="82" t="n"/>
      <c r="BH13" s="83" t="inlineStr">
        <is>
          <t>X</t>
        </is>
      </c>
      <c r="BI13" s="82" t="n"/>
      <c r="BJ13" s="83" t="inlineStr">
        <is>
          <t>Y</t>
        </is>
      </c>
      <c r="BK13" s="82" t="n"/>
      <c r="BL13" s="83" t="inlineStr">
        <is>
          <t>X</t>
        </is>
      </c>
      <c r="BM13" s="82" t="n"/>
      <c r="BN13" s="83" t="inlineStr">
        <is>
          <t>X</t>
        </is>
      </c>
      <c r="BO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IF($B14="","",SUMPRODUCT(COUNTIF($H14:$BO14,KOD)*KOD_GUN))</f>
        <v/>
      </c>
      <c r="E14" s="76">
        <f>IF($B14="","",SUMPRODUCT(COUNTIF($H14:$BO14,KOD)*KOD_DEVAMSIZ))</f>
        <v/>
      </c>
      <c r="F14" s="76">
        <f>IF($B14="","",SUMPRODUCT(COUNTIF($H14:$BO14,KOD)*KOD_IZIN))</f>
        <v/>
      </c>
      <c r="G14" s="76">
        <f>IF($B14="","",SUM(I14,K14,M14,O14,Q14,S14,U14,W14,Y14,AA14,AC14,AE14,AG14,AI14,AK14,AM14,AO14,AQ14,AS14,AU14,AW14,AY14,BA14,BC14,BE14,BG14,BI14,BK14,BM14,BO14))</f>
        <v/>
      </c>
      <c r="H14" s="77" t="inlineStr">
        <is>
          <t>X</t>
        </is>
      </c>
      <c r="I14" s="78" t="n"/>
      <c r="J14" s="79" t="inlineStr">
        <is>
          <t>X</t>
        </is>
      </c>
      <c r="K14" s="78" t="n"/>
      <c r="L14" s="79" t="inlineStr">
        <is>
          <t>X</t>
        </is>
      </c>
      <c r="M14" s="78" t="n"/>
      <c r="N14" s="79" t="inlineStr">
        <is>
          <t>X</t>
        </is>
      </c>
      <c r="O14" s="78" t="n"/>
      <c r="P14" s="79" t="inlineStr">
        <is>
          <t>X</t>
        </is>
      </c>
      <c r="Q14" s="78" t="n"/>
      <c r="R14" s="79" t="n"/>
      <c r="S14" s="78" t="n"/>
      <c r="T14" s="79" t="inlineStr">
        <is>
          <t>X</t>
        </is>
      </c>
      <c r="U14" s="78" t="n"/>
      <c r="V14" s="79" t="inlineStr">
        <is>
          <t>YARIM</t>
        </is>
      </c>
      <c r="W14" s="78" t="n"/>
      <c r="X14" s="79" t="inlineStr">
        <is>
          <t>YARIM</t>
        </is>
      </c>
      <c r="Y14" s="78" t="n"/>
      <c r="Z14" s="79" t="inlineStr">
        <is>
          <t>YARIM</t>
        </is>
      </c>
      <c r="AA14" s="78" t="n"/>
      <c r="AB14" s="79" t="inlineStr">
        <is>
          <t>Y</t>
        </is>
      </c>
      <c r="AC14" s="78" t="n"/>
      <c r="AD14" s="79" t="inlineStr">
        <is>
          <t>Y</t>
        </is>
      </c>
      <c r="AE14" s="78" t="n"/>
      <c r="AF14" s="79" t="n"/>
      <c r="AG14" s="78" t="n"/>
      <c r="AH14" s="79" t="inlineStr">
        <is>
          <t>X</t>
        </is>
      </c>
      <c r="AI14" s="78" t="n"/>
      <c r="AJ14" s="79" t="inlineStr">
        <is>
          <t>X</t>
        </is>
      </c>
      <c r="AK14" s="78" t="n"/>
      <c r="AL14" s="79" t="inlineStr">
        <is>
          <t>X</t>
        </is>
      </c>
      <c r="AM14" s="78" t="n"/>
      <c r="AN14" s="79" t="inlineStr">
        <is>
          <t>X</t>
        </is>
      </c>
      <c r="AO14" s="78" t="n"/>
      <c r="AP14" s="79" t="inlineStr">
        <is>
          <t>X</t>
        </is>
      </c>
      <c r="AQ14" s="78" t="n"/>
      <c r="AR14" s="79" t="inlineStr">
        <is>
          <t>X</t>
        </is>
      </c>
      <c r="AS14" s="78" t="n"/>
      <c r="AT14" s="79" t="n"/>
      <c r="AU14" s="78" t="n"/>
      <c r="AV14" s="79" t="inlineStr">
        <is>
          <t>X</t>
        </is>
      </c>
      <c r="AW14" s="78" t="n"/>
      <c r="AX14" s="79" t="inlineStr">
        <is>
          <t>X</t>
        </is>
      </c>
      <c r="AY14" s="78" t="n">
        <v>2</v>
      </c>
      <c r="AZ14" s="79" t="inlineStr">
        <is>
          <t>X</t>
        </is>
      </c>
      <c r="BA14" s="78" t="n">
        <v>3.5</v>
      </c>
      <c r="BB14" s="79" t="inlineStr">
        <is>
          <t>X</t>
        </is>
      </c>
      <c r="BC14" s="78" t="n"/>
      <c r="BD14" s="79" t="inlineStr">
        <is>
          <t>X</t>
        </is>
      </c>
      <c r="BE14" s="78" t="n"/>
      <c r="BF14" s="79" t="inlineStr">
        <is>
          <t>X</t>
        </is>
      </c>
      <c r="BG14" s="78" t="n"/>
      <c r="BH14" s="79" t="inlineStr">
        <is>
          <t>X</t>
        </is>
      </c>
      <c r="BI14" s="78" t="n"/>
      <c r="BJ14" s="79" t="inlineStr">
        <is>
          <t>X</t>
        </is>
      </c>
      <c r="BK14" s="78" t="n"/>
      <c r="BL14" s="79" t="inlineStr">
        <is>
          <t>X</t>
        </is>
      </c>
      <c r="BM14" s="78" t="n"/>
      <c r="BN14" s="79" t="inlineStr">
        <is>
          <t>X</t>
        </is>
      </c>
      <c r="BO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IF($B15="","",SUMPRODUCT(COUNTIF($H15:$BO15,KOD)*KOD_GUN))</f>
        <v/>
      </c>
      <c r="E15" s="76">
        <f>IF($B15="","",SUMPRODUCT(COUNTIF($H15:$BO15,KOD)*KOD_DEVAMSIZ))</f>
        <v/>
      </c>
      <c r="F15" s="76">
        <f>IF($B15="","",SUMPRODUCT(COUNTIF($H15:$BO15,KOD)*KOD_IZIN))</f>
        <v/>
      </c>
      <c r="G15" s="76">
        <f>IF($B15="","",SUM(I15,K15,M15,O15,Q15,S15,U15,W15,Y15,AA15,AC15,AE15,AG15,AI15,AK15,AM15,AO15,AQ15,AS15,AU15,AW15,AY15,BA15,BC15,BE15,BG15,BI15,BK15,BM15,BO15))</f>
        <v/>
      </c>
      <c r="H15" s="81" t="inlineStr">
        <is>
          <t>X</t>
        </is>
      </c>
      <c r="I15" s="82" t="n"/>
      <c r="J15" s="83" t="inlineStr">
        <is>
          <t>Y</t>
        </is>
      </c>
      <c r="K15" s="82" t="n"/>
      <c r="L15" s="83" t="inlineStr">
        <is>
          <t>X</t>
        </is>
      </c>
      <c r="M15" s="82" t="n"/>
      <c r="N15" s="83" t="inlineStr">
        <is>
          <t>X</t>
        </is>
      </c>
      <c r="O15" s="82" t="n"/>
      <c r="P15" s="83" t="inlineStr">
        <is>
          <t>X</t>
        </is>
      </c>
      <c r="Q15" s="82" t="n"/>
      <c r="R15" s="83" t="n"/>
      <c r="S15" s="82" t="n"/>
      <c r="T15" s="83" t="inlineStr">
        <is>
          <t>YARIM</t>
        </is>
      </c>
      <c r="U15" s="82" t="n"/>
      <c r="V15" s="83" t="inlineStr">
        <is>
          <t>X</t>
        </is>
      </c>
      <c r="W15" s="82" t="n"/>
      <c r="X15" s="83" t="inlineStr">
        <is>
          <t>X</t>
        </is>
      </c>
      <c r="Y15" s="82" t="n">
        <v>3</v>
      </c>
      <c r="Z15" s="83" t="inlineStr">
        <is>
          <t>X</t>
        </is>
      </c>
      <c r="AA15" s="82" t="n">
        <v>5.5</v>
      </c>
      <c r="AB15" s="83" t="inlineStr">
        <is>
          <t>X</t>
        </is>
      </c>
      <c r="AC15" s="82" t="n">
        <v>4.5</v>
      </c>
      <c r="AD15" s="83" t="inlineStr">
        <is>
          <t>X</t>
        </is>
      </c>
      <c r="AE15" s="82" t="n"/>
      <c r="AF15" s="83" t="n"/>
      <c r="AG15" s="82" t="n"/>
      <c r="AH15" s="83" t="inlineStr">
        <is>
          <t>X</t>
        </is>
      </c>
      <c r="AI15" s="82" t="n"/>
      <c r="AJ15" s="83" t="inlineStr">
        <is>
          <t>X</t>
        </is>
      </c>
      <c r="AK15" s="82" t="n"/>
      <c r="AL15" s="83" t="inlineStr">
        <is>
          <t>X</t>
        </is>
      </c>
      <c r="AM15" s="82" t="n"/>
      <c r="AN15" s="83" t="inlineStr">
        <is>
          <t>X</t>
        </is>
      </c>
      <c r="AO15" s="82" t="n"/>
      <c r="AP15" s="83" t="inlineStr">
        <is>
          <t>X</t>
        </is>
      </c>
      <c r="AQ15" s="82" t="n">
        <v>3</v>
      </c>
      <c r="AR15" s="83" t="inlineStr">
        <is>
          <t>X</t>
        </is>
      </c>
      <c r="AS15" s="82" t="n"/>
      <c r="AT15" s="83" t="n"/>
      <c r="AU15" s="82" t="n"/>
      <c r="AV15" s="83" t="inlineStr">
        <is>
          <t>X</t>
        </is>
      </c>
      <c r="AW15" s="82" t="n"/>
      <c r="AX15" s="83" t="inlineStr">
        <is>
          <t>X</t>
        </is>
      </c>
      <c r="AY15" s="82" t="n">
        <v>2</v>
      </c>
      <c r="AZ15" s="83" t="inlineStr">
        <is>
          <t>X</t>
        </is>
      </c>
      <c r="BA15" s="82" t="n">
        <v>3.5</v>
      </c>
      <c r="BB15" s="83" t="inlineStr">
        <is>
          <t>X</t>
        </is>
      </c>
      <c r="BC15" s="82" t="n"/>
      <c r="BD15" s="83" t="inlineStr">
        <is>
          <t>X</t>
        </is>
      </c>
      <c r="BE15" s="82" t="n"/>
      <c r="BF15" s="83" t="inlineStr">
        <is>
          <t>X</t>
        </is>
      </c>
      <c r="BG15" s="82" t="n"/>
      <c r="BH15" s="83" t="inlineStr">
        <is>
          <t>X</t>
        </is>
      </c>
      <c r="BI15" s="82" t="n"/>
      <c r="BJ15" s="83" t="inlineStr">
        <is>
          <t>X</t>
        </is>
      </c>
      <c r="BK15" s="82" t="n"/>
      <c r="BL15" s="83" t="inlineStr">
        <is>
          <t>X</t>
        </is>
      </c>
      <c r="BM15" s="82" t="n"/>
      <c r="BN15" s="83" t="inlineStr">
        <is>
          <t>X</t>
        </is>
      </c>
      <c r="BO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IF($B16="","",SUMPRODUCT(COUNTIF($H16:$BO16,KOD)*KOD_GUN))</f>
        <v/>
      </c>
      <c r="E16" s="76">
        <f>IF($B16="","",SUMPRODUCT(COUNTIF($H16:$BO16,KOD)*KOD_DEVAMSIZ))</f>
        <v/>
      </c>
      <c r="F16" s="76">
        <f>IF($B16="","",SUMPRODUCT(COUNTIF($H16:$BO16,KOD)*KOD_IZIN))</f>
        <v/>
      </c>
      <c r="G16" s="76">
        <f>IF($B16="","",SUM(I16,K16,M16,O16,Q16,S16,U16,W16,Y16,AA16,AC16,AE16,AG16,AI16,AK16,AM16,AO16,AQ16,AS16,AU16,AW16,AY16,BA16,BC16,BE16,BG16,BI16,BK16,BM16,BO16))</f>
        <v/>
      </c>
      <c r="H16" s="77" t="inlineStr">
        <is>
          <t>X</t>
        </is>
      </c>
      <c r="I16" s="78" t="n"/>
      <c r="J16" s="79" t="inlineStr">
        <is>
          <t>X</t>
        </is>
      </c>
      <c r="K16" s="78" t="n"/>
      <c r="L16" s="79" t="inlineStr">
        <is>
          <t>Y</t>
        </is>
      </c>
      <c r="M16" s="78" t="n"/>
      <c r="N16" s="79" t="inlineStr">
        <is>
          <t>X</t>
        </is>
      </c>
      <c r="O16" s="78" t="n"/>
      <c r="P16" s="79" t="inlineStr">
        <is>
          <t>X</t>
        </is>
      </c>
      <c r="Q16" s="78" t="n"/>
      <c r="R16" s="79" t="n"/>
      <c r="S16" s="78" t="n"/>
      <c r="T16" s="79" t="inlineStr">
        <is>
          <t>X</t>
        </is>
      </c>
      <c r="U16" s="78" t="n"/>
      <c r="V16" s="79" t="inlineStr">
        <is>
          <t>X</t>
        </is>
      </c>
      <c r="W16" s="78" t="n"/>
      <c r="X16" s="79" t="inlineStr">
        <is>
          <t>X</t>
        </is>
      </c>
      <c r="Y16" s="78" t="n"/>
      <c r="Z16" s="79" t="inlineStr">
        <is>
          <t>X</t>
        </is>
      </c>
      <c r="AA16" s="78" t="n">
        <v>5.5</v>
      </c>
      <c r="AB16" s="79" t="inlineStr">
        <is>
          <t>X</t>
        </is>
      </c>
      <c r="AC16" s="78" t="n"/>
      <c r="AD16" s="79" t="inlineStr">
        <is>
          <t>X</t>
        </is>
      </c>
      <c r="AE16" s="78" t="n"/>
      <c r="AF16" s="79" t="n"/>
      <c r="AG16" s="78" t="n"/>
      <c r="AH16" s="79" t="inlineStr">
        <is>
          <t>X</t>
        </is>
      </c>
      <c r="AI16" s="78" t="n"/>
      <c r="AJ16" s="79" t="inlineStr">
        <is>
          <t>X</t>
        </is>
      </c>
      <c r="AK16" s="78" t="n"/>
      <c r="AL16" s="79" t="inlineStr">
        <is>
          <t>Y</t>
        </is>
      </c>
      <c r="AM16" s="78" t="n"/>
      <c r="AN16" s="79" t="inlineStr">
        <is>
          <t>X</t>
        </is>
      </c>
      <c r="AO16" s="78" t="n"/>
      <c r="AP16" s="79" t="inlineStr">
        <is>
          <t>X</t>
        </is>
      </c>
      <c r="AQ16" s="78" t="n">
        <v>3</v>
      </c>
      <c r="AR16" s="79" t="inlineStr">
        <is>
          <t>X</t>
        </is>
      </c>
      <c r="AS16" s="78" t="n"/>
      <c r="AT16" s="79" t="n"/>
      <c r="AU16" s="78" t="n"/>
      <c r="AV16" s="79" t="inlineStr">
        <is>
          <t>X</t>
        </is>
      </c>
      <c r="AW16" s="78" t="n"/>
      <c r="AX16" s="79" t="inlineStr">
        <is>
          <t>X</t>
        </is>
      </c>
      <c r="AY16" s="78" t="n"/>
      <c r="AZ16" s="79" t="inlineStr">
        <is>
          <t>X</t>
        </is>
      </c>
      <c r="BA16" s="78" t="n"/>
      <c r="BB16" s="79" t="inlineStr">
        <is>
          <t>X</t>
        </is>
      </c>
      <c r="BC16" s="78" t="n"/>
      <c r="BD16" s="79" t="inlineStr">
        <is>
          <t>X</t>
        </is>
      </c>
      <c r="BE16" s="78" t="n"/>
      <c r="BF16" s="79" t="inlineStr">
        <is>
          <t>X</t>
        </is>
      </c>
      <c r="BG16" s="78" t="n"/>
      <c r="BH16" s="79" t="inlineStr">
        <is>
          <t>X</t>
        </is>
      </c>
      <c r="BI16" s="78" t="n"/>
      <c r="BJ16" s="79" t="inlineStr">
        <is>
          <t>X</t>
        </is>
      </c>
      <c r="BK16" s="78" t="n"/>
      <c r="BL16" s="79" t="inlineStr">
        <is>
          <t>X</t>
        </is>
      </c>
      <c r="BM16" s="78" t="n"/>
      <c r="BN16" s="79" t="inlineStr">
        <is>
          <t>X</t>
        </is>
      </c>
      <c r="BO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IF($B17="","",SUMPRODUCT(COUNTIF($H17:$BO17,KOD)*KOD_GUN))</f>
        <v/>
      </c>
      <c r="E17" s="76">
        <f>IF($B17="","",SUMPRODUCT(COUNTIF($H17:$BO17,KOD)*KOD_DEVAMSIZ))</f>
        <v/>
      </c>
      <c r="F17" s="76">
        <f>IF($B17="","",SUMPRODUCT(COUNTIF($H17:$BO17,KOD)*KOD_IZIN))</f>
        <v/>
      </c>
      <c r="G17" s="76">
        <f>IF($B17="","",SUM(I17,K17,M17,O17,Q17,S17,U17,W17,Y17,AA17,AC17,AE17,AG17,AI17,AK17,AM17,AO17,AQ17,AS17,AU17,AW17,AY17,BA17,BC17,BE17,BG17,BI17,BK17,BM17,BO17))</f>
        <v/>
      </c>
      <c r="H17" s="81" t="inlineStr">
        <is>
          <t>X</t>
        </is>
      </c>
      <c r="I17" s="82" t="n"/>
      <c r="J17" s="83" t="inlineStr">
        <is>
          <t>X</t>
        </is>
      </c>
      <c r="K17" s="82" t="n"/>
      <c r="L17" s="83" t="inlineStr">
        <is>
          <t>X</t>
        </is>
      </c>
      <c r="M17" s="82" t="n"/>
      <c r="N17" s="83" t="inlineStr">
        <is>
          <t>X</t>
        </is>
      </c>
      <c r="O17" s="82" t="n">
        <v>1</v>
      </c>
      <c r="P17" s="83" t="inlineStr">
        <is>
          <t>X</t>
        </is>
      </c>
      <c r="Q17" s="82" t="n"/>
      <c r="R17" s="83" t="n"/>
      <c r="S17" s="82" t="n"/>
      <c r="T17" s="83" t="inlineStr">
        <is>
          <t>X</t>
        </is>
      </c>
      <c r="U17" s="82" t="n"/>
      <c r="V17" s="83" t="inlineStr">
        <is>
          <t>X</t>
        </is>
      </c>
      <c r="W17" s="82" t="n"/>
      <c r="X17" s="83" t="inlineStr">
        <is>
          <t>X</t>
        </is>
      </c>
      <c r="Y17" s="82" t="n"/>
      <c r="Z17" s="83" t="inlineStr">
        <is>
          <t>X</t>
        </is>
      </c>
      <c r="AA17" s="82" t="n">
        <v>2</v>
      </c>
      <c r="AB17" s="83" t="inlineStr">
        <is>
          <t>X</t>
        </is>
      </c>
      <c r="AC17" s="82" t="n"/>
      <c r="AD17" s="83" t="inlineStr">
        <is>
          <t>X</t>
        </is>
      </c>
      <c r="AE17" s="82" t="n"/>
      <c r="AF17" s="83" t="n"/>
      <c r="AG17" s="82" t="n"/>
      <c r="AH17" s="83" t="inlineStr">
        <is>
          <t>X</t>
        </is>
      </c>
      <c r="AI17" s="82" t="n"/>
      <c r="AJ17" s="83" t="inlineStr">
        <is>
          <t>X</t>
        </is>
      </c>
      <c r="AK17" s="82" t="n"/>
      <c r="AL17" s="83" t="inlineStr">
        <is>
          <t>X</t>
        </is>
      </c>
      <c r="AM17" s="82" t="n"/>
      <c r="AN17" s="83" t="inlineStr">
        <is>
          <t>X</t>
        </is>
      </c>
      <c r="AO17" s="82" t="n"/>
      <c r="AP17" s="83" t="inlineStr">
        <is>
          <t>X</t>
        </is>
      </c>
      <c r="AQ17" s="82" t="n"/>
      <c r="AR17" s="83" t="inlineStr">
        <is>
          <t>X</t>
        </is>
      </c>
      <c r="AS17" s="82" t="n"/>
      <c r="AT17" s="83" t="n"/>
      <c r="AU17" s="82" t="n"/>
      <c r="AV17" s="83" t="inlineStr">
        <is>
          <t>X</t>
        </is>
      </c>
      <c r="AW17" s="82" t="n"/>
      <c r="AX17" s="83" t="inlineStr">
        <is>
          <t>X</t>
        </is>
      </c>
      <c r="AY17" s="82" t="n"/>
      <c r="AZ17" s="83" t="inlineStr">
        <is>
          <t>X</t>
        </is>
      </c>
      <c r="BA17" s="82" t="n"/>
      <c r="BB17" s="83" t="inlineStr">
        <is>
          <t>X</t>
        </is>
      </c>
      <c r="BC17" s="82" t="n"/>
      <c r="BD17" s="83" t="inlineStr">
        <is>
          <t>X</t>
        </is>
      </c>
      <c r="BE17" s="82" t="n"/>
      <c r="BF17" s="83" t="inlineStr">
        <is>
          <t>X</t>
        </is>
      </c>
      <c r="BG17" s="82" t="n"/>
      <c r="BH17" s="83" t="inlineStr">
        <is>
          <t>X</t>
        </is>
      </c>
      <c r="BI17" s="82" t="n"/>
      <c r="BJ17" s="83" t="inlineStr">
        <is>
          <t>X</t>
        </is>
      </c>
      <c r="BK17" s="82" t="n"/>
      <c r="BL17" s="83" t="inlineStr">
        <is>
          <t>X</t>
        </is>
      </c>
      <c r="BM17" s="82" t="n"/>
      <c r="BN17" s="83" t="inlineStr">
        <is>
          <t>X</t>
        </is>
      </c>
      <c r="BO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IF($B18="","",SUMPRODUCT(COUNTIF($H18:$BO18,KOD)*KOD_GUN))</f>
        <v/>
      </c>
      <c r="E18" s="76">
        <f>IF($B18="","",SUMPRODUCT(COUNTIF($H18:$BO18,KOD)*KOD_DEVAMSIZ))</f>
        <v/>
      </c>
      <c r="F18" s="76">
        <f>IF($B18="","",SUMPRODUCT(COUNTIF($H18:$BO18,KOD)*KOD_IZIN))</f>
        <v/>
      </c>
      <c r="G18" s="76">
        <f>IF($B18="","",SUM(I18,K18,M18,O18,Q18,S18,U18,W18,Y18,AA18,AC18,AE18,AG18,AI18,AK18,AM18,AO18,AQ18,AS18,AU18,AW18,AY18,BA18,BC18,BE18,BG18,BI18,BK18,BM18,BO18))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IF($B19="","",SUMPRODUCT(COUNTIF($H19:$BO19,KOD)*KOD_GUN))</f>
        <v/>
      </c>
      <c r="E19" s="76">
        <f>IF($B19="","",SUMPRODUCT(COUNTIF($H19:$BO19,KOD)*KOD_DEVAMSIZ))</f>
        <v/>
      </c>
      <c r="F19" s="76">
        <f>IF($B19="","",SUMPRODUCT(COUNTIF($H19:$BO19,KOD)*KOD_IZIN))</f>
        <v/>
      </c>
      <c r="G19" s="76">
        <f>IF($B19="","",SUM(I19,K19,M19,O19,Q19,S19,U19,W19,Y19,AA19,AC19,AE19,AG19,AI19,AK19,AM19,AO19,AQ19,AS19,AU19,AW19,AY19,BA19,BC19,BE19,BG19,BI19,BK19,BM19,BO19))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IF($B20="","",SUMPRODUCT(COUNTIF($H20:$BO20,KOD)*KOD_GUN))</f>
        <v/>
      </c>
      <c r="E20" s="76">
        <f>IF($B20="","",SUMPRODUCT(COUNTIF($H20:$BO20,KOD)*KOD_DEVAMSIZ))</f>
        <v/>
      </c>
      <c r="F20" s="76">
        <f>IF($B20="","",SUMPRODUCT(COUNTIF($H20:$BO20,KOD)*KOD_IZIN))</f>
        <v/>
      </c>
      <c r="G20" s="76">
        <f>IF($B20="","",SUM(I20,K20,M20,O20,Q20,S20,U20,W20,Y20,AA20,AC20,AE20,AG20,AI20,AK20,AM20,AO20,AQ20,AS20,AU20,AW20,AY20,BA20,BC20,BE20,BG20,BI20,BK20,BM20,BO20))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IF($B21="","",SUMPRODUCT(COUNTIF($H21:$BO21,KOD)*KOD_GUN))</f>
        <v/>
      </c>
      <c r="E21" s="76">
        <f>IF($B21="","",SUMPRODUCT(COUNTIF($H21:$BO21,KOD)*KOD_DEVAMSIZ))</f>
        <v/>
      </c>
      <c r="F21" s="76">
        <f>IF($B21="","",SUMPRODUCT(COUNTIF($H21:$BO21,KOD)*KOD_IZIN))</f>
        <v/>
      </c>
      <c r="G21" s="76">
        <f>IF($B21="","",SUM(I21,K21,M21,O21,Q21,S21,U21,W21,Y21,AA21,AC21,AE21,AG21,AI21,AK21,AM21,AO21,AQ21,AS21,AU21,AW21,AY21,BA21,BC21,BE21,BG21,BI21,BK21,BM21,BO21))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IF($B22="","",SUMPRODUCT(COUNTIF($H22:$BO22,KOD)*KOD_GUN))</f>
        <v/>
      </c>
      <c r="E22" s="76">
        <f>IF($B22="","",SUMPRODUCT(COUNTIF($H22:$BO22,KOD)*KOD_DEVAMSIZ))</f>
        <v/>
      </c>
      <c r="F22" s="76">
        <f>IF($B22="","",SUMPRODUCT(COUNTIF($H22:$BO22,KOD)*KOD_IZIN))</f>
        <v/>
      </c>
      <c r="G22" s="76">
        <f>IF($B22="","",SUM(I22,K22,M22,O22,Q22,S22,U22,W22,Y22,AA22,AC22,AE22,AG22,AI22,AK22,AM22,AO22,AQ22,AS22,AU22,AW22,AY22,BA22,BC22,BE22,BG22,BI22,BK22,BM22,BO22))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IF($B23="","",SUMPRODUCT(COUNTIF($H23:$BO23,KOD)*KOD_GUN))</f>
        <v/>
      </c>
      <c r="E23" s="76">
        <f>IF($B23="","",SUMPRODUCT(COUNTIF($H23:$BO23,KOD)*KOD_DEVAMSIZ))</f>
        <v/>
      </c>
      <c r="F23" s="76">
        <f>IF($B23="","",SUMPRODUCT(COUNTIF($H23:$BO23,KOD)*KOD_IZIN))</f>
        <v/>
      </c>
      <c r="G23" s="76">
        <f>IF($B23="","",SUM(I23,K23,M23,O23,Q23,S23,U23,W23,Y23,AA23,AC23,AE23,AG23,AI23,AK23,AM23,AO23,AQ23,AS23,AU23,AW23,AY23,BA23,BC23,BE23,BG23,BI23,BK23,BM23,BO23))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IF($B24="","",SUMPRODUCT(COUNTIF($H24:$BO24,KOD)*KOD_GUN))</f>
        <v/>
      </c>
      <c r="E24" s="76">
        <f>IF($B24="","",SUMPRODUCT(COUNTIF($H24:$BO24,KOD)*KOD_DEVAMSIZ))</f>
        <v/>
      </c>
      <c r="F24" s="76">
        <f>IF($B24="","",SUMPRODUCT(COUNTIF($H24:$BO24,KOD)*KOD_IZIN))</f>
        <v/>
      </c>
      <c r="G24" s="76">
        <f>IF($B24="","",SUM(I24,K24,M24,O24,Q24,S24,U24,W24,Y24,AA24,AC24,AE24,AG24,AI24,AK24,AM24,AO24,AQ24,AS24,AU24,AW24,AY24,BA24,BC24,BE24,BG24,BI24,BK24,BM24,BO24))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IF($B25="","",SUMPRODUCT(COUNTIF($H25:$BO25,KOD)*KOD_GUN))</f>
        <v/>
      </c>
      <c r="E25" s="76">
        <f>IF($B25="","",SUMPRODUCT(COUNTIF($H25:$BO25,KOD)*KOD_DEVAMSIZ))</f>
        <v/>
      </c>
      <c r="F25" s="76">
        <f>IF($B25="","",SUMPRODUCT(COUNTIF($H25:$BO25,KOD)*KOD_IZIN))</f>
        <v/>
      </c>
      <c r="G25" s="76">
        <f>IF($B25="","",SUM(I25,K25,M25,O25,Q25,S25,U25,W25,Y25,AA25,AC25,AE25,AG25,AI25,AK25,AM25,AO25,AQ25,AS25,AU25,AW25,AY25,BA25,BC25,BE25,BG25,BI25,BK25,BM25,BO25))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IF($B26="","",SUMPRODUCT(COUNTIF($H26:$BO26,KOD)*KOD_GUN))</f>
        <v/>
      </c>
      <c r="E26" s="76">
        <f>IF($B26="","",SUMPRODUCT(COUNTIF($H26:$BO26,KOD)*KOD_DEVAMSIZ))</f>
        <v/>
      </c>
      <c r="F26" s="76">
        <f>IF($B26="","",SUMPRODUCT(COUNTIF($H26:$BO26,KOD)*KOD_IZIN))</f>
        <v/>
      </c>
      <c r="G26" s="76">
        <f>IF($B26="","",SUM(I26,K26,M26,O26,Q26,S26,U26,W26,Y26,AA26,AC26,AE26,AG26,AI26,AK26,AM26,AO26,AQ26,AS26,AU26,AW26,AY26,BA26,BC26,BE26,BG26,BI26,BK26,BM26,BO26))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IF($B27="","",SUMPRODUCT(COUNTIF($H27:$BO27,KOD)*KOD_GUN))</f>
        <v/>
      </c>
      <c r="E27" s="76">
        <f>IF($B27="","",SUMPRODUCT(COUNTIF($H27:$BO27,KOD)*KOD_DEVAMSIZ))</f>
        <v/>
      </c>
      <c r="F27" s="76">
        <f>IF($B27="","",SUMPRODUCT(COUNTIF($H27:$BO27,KOD)*KOD_IZIN))</f>
        <v/>
      </c>
      <c r="G27" s="76">
        <f>IF($B27="","",SUM(I27,K27,M27,O27,Q27,S27,U27,W27,Y27,AA27,AC27,AE27,AG27,AI27,AK27,AM27,AO27,AQ27,AS27,AU27,AW27,AY27,BA27,BC27,BE27,BG27,BI27,BK27,BM27,BO27))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IF($B28="","",SUMPRODUCT(COUNTIF($H28:$BO28,KOD)*KOD_GUN))</f>
        <v/>
      </c>
      <c r="E28" s="76">
        <f>IF($B28="","",SUMPRODUCT(COUNTIF($H28:$BO28,KOD)*KOD_DEVAMSIZ))</f>
        <v/>
      </c>
      <c r="F28" s="76">
        <f>IF($B28="","",SUMPRODUCT(COUNTIF($H28:$BO28,KOD)*KOD_IZIN))</f>
        <v/>
      </c>
      <c r="G28" s="76">
        <f>IF($B28="","",SUM(I28,K28,M28,O28,Q28,S28,U28,W28,Y28,AA28,AC28,AE28,AG28,AI28,AK28,AM28,AO28,AQ28,AS28,AU28,AW28,AY28,BA28,BC28,BE28,BG28,BI28,BK28,BM28,BO28))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IF($B29="","",SUMPRODUCT(COUNTIF($H29:$BO29,KOD)*KOD_GUN))</f>
        <v/>
      </c>
      <c r="E29" s="76">
        <f>IF($B29="","",SUMPRODUCT(COUNTIF($H29:$BO29,KOD)*KOD_DEVAMSIZ))</f>
        <v/>
      </c>
      <c r="F29" s="76">
        <f>IF($B29="","",SUMPRODUCT(COUNTIF($H29:$BO29,KOD)*KOD_IZIN))</f>
        <v/>
      </c>
      <c r="G29" s="76">
        <f>IF($B29="","",SUM(I29,K29,M29,O29,Q29,S29,U29,W29,Y29,AA29,AC29,AE29,AG29,AI29,AK29,AM29,AO29,AQ29,AS29,AU29,AW29,AY29,BA29,BC29,BE29,BG29,BI29,BK29,BM29,BO29))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IF($B30="","",SUMPRODUCT(COUNTIF($H30:$BO30,KOD)*KOD_GUN))</f>
        <v/>
      </c>
      <c r="E30" s="76">
        <f>IF($B30="","",SUMPRODUCT(COUNTIF($H30:$BO30,KOD)*KOD_DEVAMSIZ))</f>
        <v/>
      </c>
      <c r="F30" s="76">
        <f>IF($B30="","",SUMPRODUCT(COUNTIF($H30:$BO30,KOD)*KOD_IZIN))</f>
        <v/>
      </c>
      <c r="G30" s="76">
        <f>IF($B30="","",SUM(I30,K30,M30,O30,Q30,S30,U30,W30,Y30,AA30,AC30,AE30,AG30,AI30,AK30,AM30,AO30,AQ30,AS30,AU30,AW30,AY30,BA30,BC30,BE30,BG30,BI30,BK30,BM30,BO30))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</row>
  </sheetData>
  <mergeCells count="141">
    <mergeCell ref="AD3:AE3"/>
    <mergeCell ref="AN3:AO3"/>
    <mergeCell ref="AP3:AQ3"/>
    <mergeCell ref="L3:M3"/>
    <mergeCell ref="AT3:AU3"/>
    <mergeCell ref="BD3:BE3"/>
    <mergeCell ref="N3:O3"/>
    <mergeCell ref="AV3:AW3"/>
    <mergeCell ref="BN3:BO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H31:I31"/>
    <mergeCell ref="Z32:AA32"/>
    <mergeCell ref="BH32:BI32"/>
    <mergeCell ref="AB32:AC32"/>
    <mergeCell ref="AF4:AG4"/>
    <mergeCell ref="AH4:AI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A1:BO1"/>
    <mergeCell ref="D3:D5"/>
    <mergeCell ref="AR3:AS3"/>
    <mergeCell ref="AB3:AC3"/>
  </mergeCells>
  <conditionalFormatting sqref="H6:BO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OR(AND(INDEX(PL_GIRIS,(ROW(H6)-5))&lt;&gt;"",(DATE(2026,9,1)+INT((COLUMN(H6)-8)/2))&lt;INDEX(PL_GIRIS,(ROW(H6)-5))),AND(INDEX(PL_CIKIS,(ROW(H6)-5))&lt;&gt;"",(DATE(2026,9,1)+INT((COLUMN(H6)-8)/2))&gt;INDEX(PL_CIKIS,(ROW(H6)-5))))</formula>
    </cfRule>
    <cfRule type="expression" priority="8" dxfId="8">
      <formula>OR(WEEKDAY((DATE(2026,9,1)+INT((COLUMN(H6)-8)/2)),2)=7,COUNTIF(TATIL,(DATE(2026,9,1)+INT((COLUMN(H6)-8)/2)))&gt;0)</formula>
    </cfRule>
  </conditionalFormatting>
  <conditionalFormatting sqref="H3:BO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EKIM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46296</v>
      </c>
      <c r="I3" s="67" t="n"/>
      <c r="J3" s="68" t="n">
        <v>46297</v>
      </c>
      <c r="K3" s="67" t="n"/>
      <c r="L3" s="68" t="n">
        <v>46298</v>
      </c>
      <c r="M3" s="67" t="n"/>
      <c r="N3" s="68" t="n">
        <v>46299</v>
      </c>
      <c r="O3" s="67" t="n"/>
      <c r="P3" s="68" t="n">
        <v>46300</v>
      </c>
      <c r="Q3" s="67" t="n"/>
      <c r="R3" s="68" t="n">
        <v>46301</v>
      </c>
      <c r="S3" s="67" t="n"/>
      <c r="T3" s="68" t="n">
        <v>46302</v>
      </c>
      <c r="U3" s="67" t="n"/>
      <c r="V3" s="68" t="n">
        <v>46303</v>
      </c>
      <c r="W3" s="67" t="n"/>
      <c r="X3" s="68" t="n">
        <v>46304</v>
      </c>
      <c r="Y3" s="67" t="n"/>
      <c r="Z3" s="68" t="n">
        <v>46305</v>
      </c>
      <c r="AA3" s="67" t="n"/>
      <c r="AB3" s="68" t="n">
        <v>46306</v>
      </c>
      <c r="AC3" s="67" t="n"/>
      <c r="AD3" s="68" t="n">
        <v>46307</v>
      </c>
      <c r="AE3" s="67" t="n"/>
      <c r="AF3" s="68" t="n">
        <v>46308</v>
      </c>
      <c r="AG3" s="67" t="n"/>
      <c r="AH3" s="68" t="n">
        <v>46309</v>
      </c>
      <c r="AI3" s="67" t="n"/>
      <c r="AJ3" s="68" t="n">
        <v>46310</v>
      </c>
      <c r="AK3" s="67" t="n"/>
      <c r="AL3" s="68" t="n">
        <v>46311</v>
      </c>
      <c r="AM3" s="67" t="n"/>
      <c r="AN3" s="68" t="n">
        <v>46312</v>
      </c>
      <c r="AO3" s="67" t="n"/>
      <c r="AP3" s="68" t="n">
        <v>46313</v>
      </c>
      <c r="AQ3" s="67" t="n"/>
      <c r="AR3" s="68" t="n">
        <v>46314</v>
      </c>
      <c r="AS3" s="67" t="n"/>
      <c r="AT3" s="68" t="n">
        <v>46315</v>
      </c>
      <c r="AU3" s="67" t="n"/>
      <c r="AV3" s="68" t="n">
        <v>46316</v>
      </c>
      <c r="AW3" s="67" t="n"/>
      <c r="AX3" s="68" t="n">
        <v>46317</v>
      </c>
      <c r="AY3" s="67" t="n"/>
      <c r="AZ3" s="68" t="n">
        <v>46318</v>
      </c>
      <c r="BA3" s="67" t="n"/>
      <c r="BB3" s="68" t="n">
        <v>46319</v>
      </c>
      <c r="BC3" s="67" t="n"/>
      <c r="BD3" s="68" t="n">
        <v>46320</v>
      </c>
      <c r="BE3" s="67" t="n"/>
      <c r="BF3" s="68" t="n">
        <v>46321</v>
      </c>
      <c r="BG3" s="67" t="n"/>
      <c r="BH3" s="68" t="n">
        <v>46322</v>
      </c>
      <c r="BI3" s="67" t="n"/>
      <c r="BJ3" s="68" t="n">
        <v>46323</v>
      </c>
      <c r="BK3" s="67" t="n"/>
      <c r="BL3" s="68" t="n">
        <v>46324</v>
      </c>
      <c r="BM3" s="67" t="n"/>
      <c r="BN3" s="68" t="n">
        <v>46325</v>
      </c>
      <c r="BO3" s="67" t="n"/>
      <c r="BP3" s="68" t="n">
        <v>46326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46296</v>
      </c>
      <c r="I4" s="70" t="n"/>
      <c r="J4" s="71" t="n">
        <v>46297</v>
      </c>
      <c r="K4" s="70" t="n"/>
      <c r="L4" s="71" t="n">
        <v>46298</v>
      </c>
      <c r="M4" s="70" t="n"/>
      <c r="N4" s="71" t="n">
        <v>46299</v>
      </c>
      <c r="O4" s="70" t="n"/>
      <c r="P4" s="71" t="n">
        <v>46300</v>
      </c>
      <c r="Q4" s="70" t="n"/>
      <c r="R4" s="71" t="n">
        <v>46301</v>
      </c>
      <c r="S4" s="70" t="n"/>
      <c r="T4" s="71" t="n">
        <v>46302</v>
      </c>
      <c r="U4" s="70" t="n"/>
      <c r="V4" s="71" t="n">
        <v>46303</v>
      </c>
      <c r="W4" s="70" t="n"/>
      <c r="X4" s="71" t="n">
        <v>46304</v>
      </c>
      <c r="Y4" s="70" t="n"/>
      <c r="Z4" s="71" t="n">
        <v>46305</v>
      </c>
      <c r="AA4" s="70" t="n"/>
      <c r="AB4" s="71" t="n">
        <v>46306</v>
      </c>
      <c r="AC4" s="70" t="n"/>
      <c r="AD4" s="71" t="n">
        <v>46307</v>
      </c>
      <c r="AE4" s="70" t="n"/>
      <c r="AF4" s="71" t="n">
        <v>46308</v>
      </c>
      <c r="AG4" s="70" t="n"/>
      <c r="AH4" s="71" t="n">
        <v>46309</v>
      </c>
      <c r="AI4" s="70" t="n"/>
      <c r="AJ4" s="71" t="n">
        <v>46310</v>
      </c>
      <c r="AK4" s="70" t="n"/>
      <c r="AL4" s="71" t="n">
        <v>46311</v>
      </c>
      <c r="AM4" s="70" t="n"/>
      <c r="AN4" s="71" t="n">
        <v>46312</v>
      </c>
      <c r="AO4" s="70" t="n"/>
      <c r="AP4" s="71" t="n">
        <v>46313</v>
      </c>
      <c r="AQ4" s="70" t="n"/>
      <c r="AR4" s="71" t="n">
        <v>46314</v>
      </c>
      <c r="AS4" s="70" t="n"/>
      <c r="AT4" s="71" t="n">
        <v>46315</v>
      </c>
      <c r="AU4" s="70" t="n"/>
      <c r="AV4" s="71" t="n">
        <v>46316</v>
      </c>
      <c r="AW4" s="70" t="n"/>
      <c r="AX4" s="71" t="n">
        <v>46317</v>
      </c>
      <c r="AY4" s="70" t="n"/>
      <c r="AZ4" s="71" t="n">
        <v>46318</v>
      </c>
      <c r="BA4" s="70" t="n"/>
      <c r="BB4" s="71" t="n">
        <v>46319</v>
      </c>
      <c r="BC4" s="70" t="n"/>
      <c r="BD4" s="71" t="n">
        <v>46320</v>
      </c>
      <c r="BE4" s="70" t="n"/>
      <c r="BF4" s="71" t="n">
        <v>46321</v>
      </c>
      <c r="BG4" s="70" t="n"/>
      <c r="BH4" s="71" t="n">
        <v>46322</v>
      </c>
      <c r="BI4" s="70" t="n"/>
      <c r="BJ4" s="71" t="n">
        <v>46323</v>
      </c>
      <c r="BK4" s="70" t="n"/>
      <c r="BL4" s="71" t="n">
        <v>46324</v>
      </c>
      <c r="BM4" s="70" t="n"/>
      <c r="BN4" s="71" t="n">
        <v>46325</v>
      </c>
      <c r="BO4" s="70" t="n"/>
      <c r="BP4" s="71" t="n">
        <v>46326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OR(AND(INDEX(PL_GIRIS,(ROW(H6)-5))&lt;&gt;"",(DATE(2026,10,1)+INT((COLUMN(H6)-8)/2))&lt;INDEX(PL_GIRIS,(ROW(H6)-5))),AND(INDEX(PL_CIKIS,(ROW(H6)-5))&lt;&gt;"",(DATE(2026,10,1)+INT((COLUMN(H6)-8)/2))&gt;INDEX(PL_CIKIS,(ROW(H6)-5))))</formula>
    </cfRule>
    <cfRule type="expression" priority="8" dxfId="8">
      <formula>OR(WEEKDAY((DATE(2026,10,1)+INT((COLUMN(H6)-8)/2)),2)=7,COUNTIF(TATIL,(DATE(2026,10,1)+INT((COLUMN(H6)-8)/2)))&gt;0)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O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</cols>
  <sheetData>
    <row r="1" ht="36" customHeight="1">
      <c r="A1" s="1" t="inlineStr">
        <is>
          <t>KASIM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46327</v>
      </c>
      <c r="I3" s="67" t="n"/>
      <c r="J3" s="68" t="n">
        <v>46328</v>
      </c>
      <c r="K3" s="67" t="n"/>
      <c r="L3" s="68" t="n">
        <v>46329</v>
      </c>
      <c r="M3" s="67" t="n"/>
      <c r="N3" s="68" t="n">
        <v>46330</v>
      </c>
      <c r="O3" s="67" t="n"/>
      <c r="P3" s="68" t="n">
        <v>46331</v>
      </c>
      <c r="Q3" s="67" t="n"/>
      <c r="R3" s="68" t="n">
        <v>46332</v>
      </c>
      <c r="S3" s="67" t="n"/>
      <c r="T3" s="68" t="n">
        <v>46333</v>
      </c>
      <c r="U3" s="67" t="n"/>
      <c r="V3" s="68" t="n">
        <v>46334</v>
      </c>
      <c r="W3" s="67" t="n"/>
      <c r="X3" s="68" t="n">
        <v>46335</v>
      </c>
      <c r="Y3" s="67" t="n"/>
      <c r="Z3" s="68" t="n">
        <v>46336</v>
      </c>
      <c r="AA3" s="67" t="n"/>
      <c r="AB3" s="68" t="n">
        <v>46337</v>
      </c>
      <c r="AC3" s="67" t="n"/>
      <c r="AD3" s="68" t="n">
        <v>46338</v>
      </c>
      <c r="AE3" s="67" t="n"/>
      <c r="AF3" s="68" t="n">
        <v>46339</v>
      </c>
      <c r="AG3" s="67" t="n"/>
      <c r="AH3" s="68" t="n">
        <v>46340</v>
      </c>
      <c r="AI3" s="67" t="n"/>
      <c r="AJ3" s="68" t="n">
        <v>46341</v>
      </c>
      <c r="AK3" s="67" t="n"/>
      <c r="AL3" s="68" t="n">
        <v>46342</v>
      </c>
      <c r="AM3" s="67" t="n"/>
      <c r="AN3" s="68" t="n">
        <v>46343</v>
      </c>
      <c r="AO3" s="67" t="n"/>
      <c r="AP3" s="68" t="n">
        <v>46344</v>
      </c>
      <c r="AQ3" s="67" t="n"/>
      <c r="AR3" s="68" t="n">
        <v>46345</v>
      </c>
      <c r="AS3" s="67" t="n"/>
      <c r="AT3" s="68" t="n">
        <v>46346</v>
      </c>
      <c r="AU3" s="67" t="n"/>
      <c r="AV3" s="68" t="n">
        <v>46347</v>
      </c>
      <c r="AW3" s="67" t="n"/>
      <c r="AX3" s="68" t="n">
        <v>46348</v>
      </c>
      <c r="AY3" s="67" t="n"/>
      <c r="AZ3" s="68" t="n">
        <v>46349</v>
      </c>
      <c r="BA3" s="67" t="n"/>
      <c r="BB3" s="68" t="n">
        <v>46350</v>
      </c>
      <c r="BC3" s="67" t="n"/>
      <c r="BD3" s="68" t="n">
        <v>46351</v>
      </c>
      <c r="BE3" s="67" t="n"/>
      <c r="BF3" s="68" t="n">
        <v>46352</v>
      </c>
      <c r="BG3" s="67" t="n"/>
      <c r="BH3" s="68" t="n">
        <v>46353</v>
      </c>
      <c r="BI3" s="67" t="n"/>
      <c r="BJ3" s="68" t="n">
        <v>46354</v>
      </c>
      <c r="BK3" s="67" t="n"/>
      <c r="BL3" s="68" t="n">
        <v>46355</v>
      </c>
      <c r="BM3" s="67" t="n"/>
      <c r="BN3" s="68" t="n">
        <v>46356</v>
      </c>
      <c r="BO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46327</v>
      </c>
      <c r="I4" s="70" t="n"/>
      <c r="J4" s="71" t="n">
        <v>46328</v>
      </c>
      <c r="K4" s="70" t="n"/>
      <c r="L4" s="71" t="n">
        <v>46329</v>
      </c>
      <c r="M4" s="70" t="n"/>
      <c r="N4" s="71" t="n">
        <v>46330</v>
      </c>
      <c r="O4" s="70" t="n"/>
      <c r="P4" s="71" t="n">
        <v>46331</v>
      </c>
      <c r="Q4" s="70" t="n"/>
      <c r="R4" s="71" t="n">
        <v>46332</v>
      </c>
      <c r="S4" s="70" t="n"/>
      <c r="T4" s="71" t="n">
        <v>46333</v>
      </c>
      <c r="U4" s="70" t="n"/>
      <c r="V4" s="71" t="n">
        <v>46334</v>
      </c>
      <c r="W4" s="70" t="n"/>
      <c r="X4" s="71" t="n">
        <v>46335</v>
      </c>
      <c r="Y4" s="70" t="n"/>
      <c r="Z4" s="71" t="n">
        <v>46336</v>
      </c>
      <c r="AA4" s="70" t="n"/>
      <c r="AB4" s="71" t="n">
        <v>46337</v>
      </c>
      <c r="AC4" s="70" t="n"/>
      <c r="AD4" s="71" t="n">
        <v>46338</v>
      </c>
      <c r="AE4" s="70" t="n"/>
      <c r="AF4" s="71" t="n">
        <v>46339</v>
      </c>
      <c r="AG4" s="70" t="n"/>
      <c r="AH4" s="71" t="n">
        <v>46340</v>
      </c>
      <c r="AI4" s="70" t="n"/>
      <c r="AJ4" s="71" t="n">
        <v>46341</v>
      </c>
      <c r="AK4" s="70" t="n"/>
      <c r="AL4" s="71" t="n">
        <v>46342</v>
      </c>
      <c r="AM4" s="70" t="n"/>
      <c r="AN4" s="71" t="n">
        <v>46343</v>
      </c>
      <c r="AO4" s="70" t="n"/>
      <c r="AP4" s="71" t="n">
        <v>46344</v>
      </c>
      <c r="AQ4" s="70" t="n"/>
      <c r="AR4" s="71" t="n">
        <v>46345</v>
      </c>
      <c r="AS4" s="70" t="n"/>
      <c r="AT4" s="71" t="n">
        <v>46346</v>
      </c>
      <c r="AU4" s="70" t="n"/>
      <c r="AV4" s="71" t="n">
        <v>46347</v>
      </c>
      <c r="AW4" s="70" t="n"/>
      <c r="AX4" s="71" t="n">
        <v>46348</v>
      </c>
      <c r="AY4" s="70" t="n"/>
      <c r="AZ4" s="71" t="n">
        <v>46349</v>
      </c>
      <c r="BA4" s="70" t="n"/>
      <c r="BB4" s="71" t="n">
        <v>46350</v>
      </c>
      <c r="BC4" s="70" t="n"/>
      <c r="BD4" s="71" t="n">
        <v>46351</v>
      </c>
      <c r="BE4" s="70" t="n"/>
      <c r="BF4" s="71" t="n">
        <v>46352</v>
      </c>
      <c r="BG4" s="70" t="n"/>
      <c r="BH4" s="71" t="n">
        <v>46353</v>
      </c>
      <c r="BI4" s="70" t="n"/>
      <c r="BJ4" s="71" t="n">
        <v>46354</v>
      </c>
      <c r="BK4" s="70" t="n"/>
      <c r="BL4" s="71" t="n">
        <v>46355</v>
      </c>
      <c r="BM4" s="70" t="n"/>
      <c r="BN4" s="71" t="n">
        <v>46356</v>
      </c>
      <c r="BO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IF($B6="","",SUMPRODUCT(COUNTIF($H6:$BO6,KOD)*KOD_GUN))</f>
        <v/>
      </c>
      <c r="E6" s="76">
        <f>IF($B6="","",SUMPRODUCT(COUNTIF($H6:$BO6,KOD)*KOD_DEVAMSIZ))</f>
        <v/>
      </c>
      <c r="F6" s="76">
        <f>IF($B6="","",SUMPRODUCT(COUNTIF($H6:$BO6,KOD)*KOD_IZIN))</f>
        <v/>
      </c>
      <c r="G6" s="76">
        <f>IF($B6="","",SUM(I6,K6,M6,O6,Q6,S6,U6,W6,Y6,AA6,AC6,AE6,AG6,AI6,AK6,AM6,AO6,AQ6,AS6,AU6,AW6,AY6,BA6,BC6,BE6,BG6,BI6,BK6,BM6,BO6))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IF($B7="","",SUMPRODUCT(COUNTIF($H7:$BO7,KOD)*KOD_GUN))</f>
        <v/>
      </c>
      <c r="E7" s="76">
        <f>IF($B7="","",SUMPRODUCT(COUNTIF($H7:$BO7,KOD)*KOD_DEVAMSIZ))</f>
        <v/>
      </c>
      <c r="F7" s="76">
        <f>IF($B7="","",SUMPRODUCT(COUNTIF($H7:$BO7,KOD)*KOD_IZIN))</f>
        <v/>
      </c>
      <c r="G7" s="76">
        <f>IF($B7="","",SUM(I7,K7,M7,O7,Q7,S7,U7,W7,Y7,AA7,AC7,AE7,AG7,AI7,AK7,AM7,AO7,AQ7,AS7,AU7,AW7,AY7,BA7,BC7,BE7,BG7,BI7,BK7,BM7,BO7))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IF($B8="","",SUMPRODUCT(COUNTIF($H8:$BO8,KOD)*KOD_GUN))</f>
        <v/>
      </c>
      <c r="E8" s="76">
        <f>IF($B8="","",SUMPRODUCT(COUNTIF($H8:$BO8,KOD)*KOD_DEVAMSIZ))</f>
        <v/>
      </c>
      <c r="F8" s="76">
        <f>IF($B8="","",SUMPRODUCT(COUNTIF($H8:$BO8,KOD)*KOD_IZIN))</f>
        <v/>
      </c>
      <c r="G8" s="76">
        <f>IF($B8="","",SUM(I8,K8,M8,O8,Q8,S8,U8,W8,Y8,AA8,AC8,AE8,AG8,AI8,AK8,AM8,AO8,AQ8,AS8,AU8,AW8,AY8,BA8,BC8,BE8,BG8,BI8,BK8,BM8,BO8))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IF($B9="","",SUMPRODUCT(COUNTIF($H9:$BO9,KOD)*KOD_GUN))</f>
        <v/>
      </c>
      <c r="E9" s="76">
        <f>IF($B9="","",SUMPRODUCT(COUNTIF($H9:$BO9,KOD)*KOD_DEVAMSIZ))</f>
        <v/>
      </c>
      <c r="F9" s="76">
        <f>IF($B9="","",SUMPRODUCT(COUNTIF($H9:$BO9,KOD)*KOD_IZIN))</f>
        <v/>
      </c>
      <c r="G9" s="76">
        <f>IF($B9="","",SUM(I9,K9,M9,O9,Q9,S9,U9,W9,Y9,AA9,AC9,AE9,AG9,AI9,AK9,AM9,AO9,AQ9,AS9,AU9,AW9,AY9,BA9,BC9,BE9,BG9,BI9,BK9,BM9,BO9))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IF($B10="","",SUMPRODUCT(COUNTIF($H10:$BO10,KOD)*KOD_GUN))</f>
        <v/>
      </c>
      <c r="E10" s="76">
        <f>IF($B10="","",SUMPRODUCT(COUNTIF($H10:$BO10,KOD)*KOD_DEVAMSIZ))</f>
        <v/>
      </c>
      <c r="F10" s="76">
        <f>IF($B10="","",SUMPRODUCT(COUNTIF($H10:$BO10,KOD)*KOD_IZIN))</f>
        <v/>
      </c>
      <c r="G10" s="76">
        <f>IF($B10="","",SUM(I10,K10,M10,O10,Q10,S10,U10,W10,Y10,AA10,AC10,AE10,AG10,AI10,AK10,AM10,AO10,AQ10,AS10,AU10,AW10,AY10,BA10,BC10,BE10,BG10,BI10,BK10,BM10,BO10))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IF($B11="","",SUMPRODUCT(COUNTIF($H11:$BO11,KOD)*KOD_GUN))</f>
        <v/>
      </c>
      <c r="E11" s="76">
        <f>IF($B11="","",SUMPRODUCT(COUNTIF($H11:$BO11,KOD)*KOD_DEVAMSIZ))</f>
        <v/>
      </c>
      <c r="F11" s="76">
        <f>IF($B11="","",SUMPRODUCT(COUNTIF($H11:$BO11,KOD)*KOD_IZIN))</f>
        <v/>
      </c>
      <c r="G11" s="76">
        <f>IF($B11="","",SUM(I11,K11,M11,O11,Q11,S11,U11,W11,Y11,AA11,AC11,AE11,AG11,AI11,AK11,AM11,AO11,AQ11,AS11,AU11,AW11,AY11,BA11,BC11,BE11,BG11,BI11,BK11,BM11,BO11))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IF($B12="","",SUMPRODUCT(COUNTIF($H12:$BO12,KOD)*KOD_GUN))</f>
        <v/>
      </c>
      <c r="E12" s="76">
        <f>IF($B12="","",SUMPRODUCT(COUNTIF($H12:$BO12,KOD)*KOD_DEVAMSIZ))</f>
        <v/>
      </c>
      <c r="F12" s="76">
        <f>IF($B12="","",SUMPRODUCT(COUNTIF($H12:$BO12,KOD)*KOD_IZIN))</f>
        <v/>
      </c>
      <c r="G12" s="76">
        <f>IF($B12="","",SUM(I12,K12,M12,O12,Q12,S12,U12,W12,Y12,AA12,AC12,AE12,AG12,AI12,AK12,AM12,AO12,AQ12,AS12,AU12,AW12,AY12,BA12,BC12,BE12,BG12,BI12,BK12,BM12,BO12))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IF($B13="","",SUMPRODUCT(COUNTIF($H13:$BO13,KOD)*KOD_GUN))</f>
        <v/>
      </c>
      <c r="E13" s="76">
        <f>IF($B13="","",SUMPRODUCT(COUNTIF($H13:$BO13,KOD)*KOD_DEVAMSIZ))</f>
        <v/>
      </c>
      <c r="F13" s="76">
        <f>IF($B13="","",SUMPRODUCT(COUNTIF($H13:$BO13,KOD)*KOD_IZIN))</f>
        <v/>
      </c>
      <c r="G13" s="76">
        <f>IF($B13="","",SUM(I13,K13,M13,O13,Q13,S13,U13,W13,Y13,AA13,AC13,AE13,AG13,AI13,AK13,AM13,AO13,AQ13,AS13,AU13,AW13,AY13,BA13,BC13,BE13,BG13,BI13,BK13,BM13,BO13))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IF($B14="","",SUMPRODUCT(COUNTIF($H14:$BO14,KOD)*KOD_GUN))</f>
        <v/>
      </c>
      <c r="E14" s="76">
        <f>IF($B14="","",SUMPRODUCT(COUNTIF($H14:$BO14,KOD)*KOD_DEVAMSIZ))</f>
        <v/>
      </c>
      <c r="F14" s="76">
        <f>IF($B14="","",SUMPRODUCT(COUNTIF($H14:$BO14,KOD)*KOD_IZIN))</f>
        <v/>
      </c>
      <c r="G14" s="76">
        <f>IF($B14="","",SUM(I14,K14,M14,O14,Q14,S14,U14,W14,Y14,AA14,AC14,AE14,AG14,AI14,AK14,AM14,AO14,AQ14,AS14,AU14,AW14,AY14,BA14,BC14,BE14,BG14,BI14,BK14,BM14,BO14))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IF($B15="","",SUMPRODUCT(COUNTIF($H15:$BO15,KOD)*KOD_GUN))</f>
        <v/>
      </c>
      <c r="E15" s="76">
        <f>IF($B15="","",SUMPRODUCT(COUNTIF($H15:$BO15,KOD)*KOD_DEVAMSIZ))</f>
        <v/>
      </c>
      <c r="F15" s="76">
        <f>IF($B15="","",SUMPRODUCT(COUNTIF($H15:$BO15,KOD)*KOD_IZIN))</f>
        <v/>
      </c>
      <c r="G15" s="76">
        <f>IF($B15="","",SUM(I15,K15,M15,O15,Q15,S15,U15,W15,Y15,AA15,AC15,AE15,AG15,AI15,AK15,AM15,AO15,AQ15,AS15,AU15,AW15,AY15,BA15,BC15,BE15,BG15,BI15,BK15,BM15,BO15))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IF($B16="","",SUMPRODUCT(COUNTIF($H16:$BO16,KOD)*KOD_GUN))</f>
        <v/>
      </c>
      <c r="E16" s="76">
        <f>IF($B16="","",SUMPRODUCT(COUNTIF($H16:$BO16,KOD)*KOD_DEVAMSIZ))</f>
        <v/>
      </c>
      <c r="F16" s="76">
        <f>IF($B16="","",SUMPRODUCT(COUNTIF($H16:$BO16,KOD)*KOD_IZIN))</f>
        <v/>
      </c>
      <c r="G16" s="76">
        <f>IF($B16="","",SUM(I16,K16,M16,O16,Q16,S16,U16,W16,Y16,AA16,AC16,AE16,AG16,AI16,AK16,AM16,AO16,AQ16,AS16,AU16,AW16,AY16,BA16,BC16,BE16,BG16,BI16,BK16,BM16,BO16))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IF($B17="","",SUMPRODUCT(COUNTIF($H17:$BO17,KOD)*KOD_GUN))</f>
        <v/>
      </c>
      <c r="E17" s="76">
        <f>IF($B17="","",SUMPRODUCT(COUNTIF($H17:$BO17,KOD)*KOD_DEVAMSIZ))</f>
        <v/>
      </c>
      <c r="F17" s="76">
        <f>IF($B17="","",SUMPRODUCT(COUNTIF($H17:$BO17,KOD)*KOD_IZIN))</f>
        <v/>
      </c>
      <c r="G17" s="76">
        <f>IF($B17="","",SUM(I17,K17,M17,O17,Q17,S17,U17,W17,Y17,AA17,AC17,AE17,AG17,AI17,AK17,AM17,AO17,AQ17,AS17,AU17,AW17,AY17,BA17,BC17,BE17,BG17,BI17,BK17,BM17,BO17))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IF($B18="","",SUMPRODUCT(COUNTIF($H18:$BO18,KOD)*KOD_GUN))</f>
        <v/>
      </c>
      <c r="E18" s="76">
        <f>IF($B18="","",SUMPRODUCT(COUNTIF($H18:$BO18,KOD)*KOD_DEVAMSIZ))</f>
        <v/>
      </c>
      <c r="F18" s="76">
        <f>IF($B18="","",SUMPRODUCT(COUNTIF($H18:$BO18,KOD)*KOD_IZIN))</f>
        <v/>
      </c>
      <c r="G18" s="76">
        <f>IF($B18="","",SUM(I18,K18,M18,O18,Q18,S18,U18,W18,Y18,AA18,AC18,AE18,AG18,AI18,AK18,AM18,AO18,AQ18,AS18,AU18,AW18,AY18,BA18,BC18,BE18,BG18,BI18,BK18,BM18,BO18))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IF($B19="","",SUMPRODUCT(COUNTIF($H19:$BO19,KOD)*KOD_GUN))</f>
        <v/>
      </c>
      <c r="E19" s="76">
        <f>IF($B19="","",SUMPRODUCT(COUNTIF($H19:$BO19,KOD)*KOD_DEVAMSIZ))</f>
        <v/>
      </c>
      <c r="F19" s="76">
        <f>IF($B19="","",SUMPRODUCT(COUNTIF($H19:$BO19,KOD)*KOD_IZIN))</f>
        <v/>
      </c>
      <c r="G19" s="76">
        <f>IF($B19="","",SUM(I19,K19,M19,O19,Q19,S19,U19,W19,Y19,AA19,AC19,AE19,AG19,AI19,AK19,AM19,AO19,AQ19,AS19,AU19,AW19,AY19,BA19,BC19,BE19,BG19,BI19,BK19,BM19,BO19))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IF($B20="","",SUMPRODUCT(COUNTIF($H20:$BO20,KOD)*KOD_GUN))</f>
        <v/>
      </c>
      <c r="E20" s="76">
        <f>IF($B20="","",SUMPRODUCT(COUNTIF($H20:$BO20,KOD)*KOD_DEVAMSIZ))</f>
        <v/>
      </c>
      <c r="F20" s="76">
        <f>IF($B20="","",SUMPRODUCT(COUNTIF($H20:$BO20,KOD)*KOD_IZIN))</f>
        <v/>
      </c>
      <c r="G20" s="76">
        <f>IF($B20="","",SUM(I20,K20,M20,O20,Q20,S20,U20,W20,Y20,AA20,AC20,AE20,AG20,AI20,AK20,AM20,AO20,AQ20,AS20,AU20,AW20,AY20,BA20,BC20,BE20,BG20,BI20,BK20,BM20,BO20))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IF($B21="","",SUMPRODUCT(COUNTIF($H21:$BO21,KOD)*KOD_GUN))</f>
        <v/>
      </c>
      <c r="E21" s="76">
        <f>IF($B21="","",SUMPRODUCT(COUNTIF($H21:$BO21,KOD)*KOD_DEVAMSIZ))</f>
        <v/>
      </c>
      <c r="F21" s="76">
        <f>IF($B21="","",SUMPRODUCT(COUNTIF($H21:$BO21,KOD)*KOD_IZIN))</f>
        <v/>
      </c>
      <c r="G21" s="76">
        <f>IF($B21="","",SUM(I21,K21,M21,O21,Q21,S21,U21,W21,Y21,AA21,AC21,AE21,AG21,AI21,AK21,AM21,AO21,AQ21,AS21,AU21,AW21,AY21,BA21,BC21,BE21,BG21,BI21,BK21,BM21,BO21))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IF($B22="","",SUMPRODUCT(COUNTIF($H22:$BO22,KOD)*KOD_GUN))</f>
        <v/>
      </c>
      <c r="E22" s="76">
        <f>IF($B22="","",SUMPRODUCT(COUNTIF($H22:$BO22,KOD)*KOD_DEVAMSIZ))</f>
        <v/>
      </c>
      <c r="F22" s="76">
        <f>IF($B22="","",SUMPRODUCT(COUNTIF($H22:$BO22,KOD)*KOD_IZIN))</f>
        <v/>
      </c>
      <c r="G22" s="76">
        <f>IF($B22="","",SUM(I22,K22,M22,O22,Q22,S22,U22,W22,Y22,AA22,AC22,AE22,AG22,AI22,AK22,AM22,AO22,AQ22,AS22,AU22,AW22,AY22,BA22,BC22,BE22,BG22,BI22,BK22,BM22,BO22))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IF($B23="","",SUMPRODUCT(COUNTIF($H23:$BO23,KOD)*KOD_GUN))</f>
        <v/>
      </c>
      <c r="E23" s="76">
        <f>IF($B23="","",SUMPRODUCT(COUNTIF($H23:$BO23,KOD)*KOD_DEVAMSIZ))</f>
        <v/>
      </c>
      <c r="F23" s="76">
        <f>IF($B23="","",SUMPRODUCT(COUNTIF($H23:$BO23,KOD)*KOD_IZIN))</f>
        <v/>
      </c>
      <c r="G23" s="76">
        <f>IF($B23="","",SUM(I23,K23,M23,O23,Q23,S23,U23,W23,Y23,AA23,AC23,AE23,AG23,AI23,AK23,AM23,AO23,AQ23,AS23,AU23,AW23,AY23,BA23,BC23,BE23,BG23,BI23,BK23,BM23,BO23))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IF($B24="","",SUMPRODUCT(COUNTIF($H24:$BO24,KOD)*KOD_GUN))</f>
        <v/>
      </c>
      <c r="E24" s="76">
        <f>IF($B24="","",SUMPRODUCT(COUNTIF($H24:$BO24,KOD)*KOD_DEVAMSIZ))</f>
        <v/>
      </c>
      <c r="F24" s="76">
        <f>IF($B24="","",SUMPRODUCT(COUNTIF($H24:$BO24,KOD)*KOD_IZIN))</f>
        <v/>
      </c>
      <c r="G24" s="76">
        <f>IF($B24="","",SUM(I24,K24,M24,O24,Q24,S24,U24,W24,Y24,AA24,AC24,AE24,AG24,AI24,AK24,AM24,AO24,AQ24,AS24,AU24,AW24,AY24,BA24,BC24,BE24,BG24,BI24,BK24,BM24,BO24))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IF($B25="","",SUMPRODUCT(COUNTIF($H25:$BO25,KOD)*KOD_GUN))</f>
        <v/>
      </c>
      <c r="E25" s="76">
        <f>IF($B25="","",SUMPRODUCT(COUNTIF($H25:$BO25,KOD)*KOD_DEVAMSIZ))</f>
        <v/>
      </c>
      <c r="F25" s="76">
        <f>IF($B25="","",SUMPRODUCT(COUNTIF($H25:$BO25,KOD)*KOD_IZIN))</f>
        <v/>
      </c>
      <c r="G25" s="76">
        <f>IF($B25="","",SUM(I25,K25,M25,O25,Q25,S25,U25,W25,Y25,AA25,AC25,AE25,AG25,AI25,AK25,AM25,AO25,AQ25,AS25,AU25,AW25,AY25,BA25,BC25,BE25,BG25,BI25,BK25,BM25,BO25))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IF($B26="","",SUMPRODUCT(COUNTIF($H26:$BO26,KOD)*KOD_GUN))</f>
        <v/>
      </c>
      <c r="E26" s="76">
        <f>IF($B26="","",SUMPRODUCT(COUNTIF($H26:$BO26,KOD)*KOD_DEVAMSIZ))</f>
        <v/>
      </c>
      <c r="F26" s="76">
        <f>IF($B26="","",SUMPRODUCT(COUNTIF($H26:$BO26,KOD)*KOD_IZIN))</f>
        <v/>
      </c>
      <c r="G26" s="76">
        <f>IF($B26="","",SUM(I26,K26,M26,O26,Q26,S26,U26,W26,Y26,AA26,AC26,AE26,AG26,AI26,AK26,AM26,AO26,AQ26,AS26,AU26,AW26,AY26,BA26,BC26,BE26,BG26,BI26,BK26,BM26,BO26))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IF($B27="","",SUMPRODUCT(COUNTIF($H27:$BO27,KOD)*KOD_GUN))</f>
        <v/>
      </c>
      <c r="E27" s="76">
        <f>IF($B27="","",SUMPRODUCT(COUNTIF($H27:$BO27,KOD)*KOD_DEVAMSIZ))</f>
        <v/>
      </c>
      <c r="F27" s="76">
        <f>IF($B27="","",SUMPRODUCT(COUNTIF($H27:$BO27,KOD)*KOD_IZIN))</f>
        <v/>
      </c>
      <c r="G27" s="76">
        <f>IF($B27="","",SUM(I27,K27,M27,O27,Q27,S27,U27,W27,Y27,AA27,AC27,AE27,AG27,AI27,AK27,AM27,AO27,AQ27,AS27,AU27,AW27,AY27,BA27,BC27,BE27,BG27,BI27,BK27,BM27,BO27))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IF($B28="","",SUMPRODUCT(COUNTIF($H28:$BO28,KOD)*KOD_GUN))</f>
        <v/>
      </c>
      <c r="E28" s="76">
        <f>IF($B28="","",SUMPRODUCT(COUNTIF($H28:$BO28,KOD)*KOD_DEVAMSIZ))</f>
        <v/>
      </c>
      <c r="F28" s="76">
        <f>IF($B28="","",SUMPRODUCT(COUNTIF($H28:$BO28,KOD)*KOD_IZIN))</f>
        <v/>
      </c>
      <c r="G28" s="76">
        <f>IF($B28="","",SUM(I28,K28,M28,O28,Q28,S28,U28,W28,Y28,AA28,AC28,AE28,AG28,AI28,AK28,AM28,AO28,AQ28,AS28,AU28,AW28,AY28,BA28,BC28,BE28,BG28,BI28,BK28,BM28,BO28))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IF($B29="","",SUMPRODUCT(COUNTIF($H29:$BO29,KOD)*KOD_GUN))</f>
        <v/>
      </c>
      <c r="E29" s="76">
        <f>IF($B29="","",SUMPRODUCT(COUNTIF($H29:$BO29,KOD)*KOD_DEVAMSIZ))</f>
        <v/>
      </c>
      <c r="F29" s="76">
        <f>IF($B29="","",SUMPRODUCT(COUNTIF($H29:$BO29,KOD)*KOD_IZIN))</f>
        <v/>
      </c>
      <c r="G29" s="76">
        <f>IF($B29="","",SUM(I29,K29,M29,O29,Q29,S29,U29,W29,Y29,AA29,AC29,AE29,AG29,AI29,AK29,AM29,AO29,AQ29,AS29,AU29,AW29,AY29,BA29,BC29,BE29,BG29,BI29,BK29,BM29,BO29))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IF($B30="","",SUMPRODUCT(COUNTIF($H30:$BO30,KOD)*KOD_GUN))</f>
        <v/>
      </c>
      <c r="E30" s="76">
        <f>IF($B30="","",SUMPRODUCT(COUNTIF($H30:$BO30,KOD)*KOD_DEVAMSIZ))</f>
        <v/>
      </c>
      <c r="F30" s="76">
        <f>IF($B30="","",SUMPRODUCT(COUNTIF($H30:$BO30,KOD)*KOD_IZIN))</f>
        <v/>
      </c>
      <c r="G30" s="76">
        <f>IF($B30="","",SUM(I30,K30,M30,O30,Q30,S30,U30,W30,Y30,AA30,AC30,AE30,AG30,AI30,AK30,AM30,AO30,AQ30,AS30,AU30,AW30,AY30,BA30,BC30,BE30,BG30,BI30,BK30,BM30,BO30))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</row>
  </sheetData>
  <mergeCells count="141">
    <mergeCell ref="AD3:AE3"/>
    <mergeCell ref="AN3:AO3"/>
    <mergeCell ref="AP3:AQ3"/>
    <mergeCell ref="L3:M3"/>
    <mergeCell ref="AT3:AU3"/>
    <mergeCell ref="BD3:BE3"/>
    <mergeCell ref="N3:O3"/>
    <mergeCell ref="AV3:AW3"/>
    <mergeCell ref="BN3:BO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H31:I31"/>
    <mergeCell ref="Z32:AA32"/>
    <mergeCell ref="BH32:BI32"/>
    <mergeCell ref="AB32:AC32"/>
    <mergeCell ref="AF4:AG4"/>
    <mergeCell ref="AH4:AI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A1:BO1"/>
    <mergeCell ref="D3:D5"/>
    <mergeCell ref="AR3:AS3"/>
    <mergeCell ref="AB3:AC3"/>
  </mergeCells>
  <conditionalFormatting sqref="H6:BO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OR(AND(INDEX(PL_GIRIS,(ROW(H6)-5))&lt;&gt;"",(DATE(2026,11,1)+INT((COLUMN(H6)-8)/2))&lt;INDEX(PL_GIRIS,(ROW(H6)-5))),AND(INDEX(PL_CIKIS,(ROW(H6)-5))&lt;&gt;"",(DATE(2026,11,1)+INT((COLUMN(H6)-8)/2))&gt;INDEX(PL_CIKIS,(ROW(H6)-5))))</formula>
    </cfRule>
    <cfRule type="expression" priority="8" dxfId="8">
      <formula>OR(WEEKDAY((DATE(2026,11,1)+INT((COLUMN(H6)-8)/2)),2)=7,COUNTIF(TATIL,(DATE(2026,11,1)+INT((COLUMN(H6)-8)/2)))&gt;0)</formula>
    </cfRule>
  </conditionalFormatting>
  <conditionalFormatting sqref="H3:BO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Q32"/>
  <sheetViews>
    <sheetView showGridLines="0" zoomScale="9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7.5" customWidth="1" min="4" max="4"/>
    <col width="7.5" customWidth="1" min="5" max="5"/>
    <col width="7.5" customWidth="1" min="6" max="6"/>
    <col width="7.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</cols>
  <sheetData>
    <row r="1" ht="36" customHeight="1">
      <c r="A1" s="1" t="inlineStr">
        <is>
          <t>ARALIK 2026  —  ÇALIŞILAN GÜN VE MESAİ ÇİZELGESİ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 ht="20" customHeight="1">
      <c r="A2" s="57" t="inlineStr">
        <is>
          <t>Kodlar  ▸</t>
        </is>
      </c>
      <c r="B2" s="57" t="n"/>
      <c r="C2" s="57" t="n"/>
      <c r="D2" s="57" t="n"/>
      <c r="E2" s="57" t="n"/>
      <c r="F2" s="57" t="n"/>
      <c r="G2" s="57" t="n"/>
      <c r="H2" s="58" t="inlineStr">
        <is>
          <t>X = Geldi (tam gün)</t>
        </is>
      </c>
      <c r="I2" s="58" t="n"/>
      <c r="J2" s="58" t="n"/>
      <c r="K2" s="58" t="n"/>
      <c r="L2" s="58" t="n"/>
      <c r="M2" s="58" t="n"/>
      <c r="N2" s="59" t="inlineStr">
        <is>
          <t>YARIM = Yarım gün çalıştı</t>
        </is>
      </c>
      <c r="O2" s="59" t="n"/>
      <c r="P2" s="59" t="n"/>
      <c r="Q2" s="59" t="n"/>
      <c r="R2" s="59" t="n"/>
      <c r="S2" s="59" t="n"/>
      <c r="T2" s="59" t="inlineStr">
        <is>
          <t>GY = Yarım gün (GY)</t>
        </is>
      </c>
      <c r="U2" s="59" t="n"/>
      <c r="V2" s="59" t="n"/>
      <c r="W2" s="59" t="n"/>
      <c r="X2" s="60" t="inlineStr">
        <is>
          <t>Y = Gelmedi (yok)</t>
        </is>
      </c>
      <c r="Y2" s="60" t="n"/>
      <c r="Z2" s="60" t="n"/>
      <c r="AA2" s="60" t="n"/>
      <c r="AB2" s="61" t="inlineStr">
        <is>
          <t>V = Vizite / sağlık raporu</t>
        </is>
      </c>
      <c r="AC2" s="61" t="n"/>
      <c r="AD2" s="61" t="n"/>
      <c r="AE2" s="61" t="n"/>
      <c r="AF2" s="61" t="n"/>
      <c r="AG2" s="61" t="n"/>
      <c r="AH2" s="61" t="inlineStr">
        <is>
          <t>İ = Yıllık ücretli izin</t>
        </is>
      </c>
      <c r="AI2" s="61" t="n"/>
      <c r="AJ2" s="61" t="n"/>
      <c r="AK2" s="61" t="n"/>
      <c r="AL2" s="61" t="n"/>
      <c r="AM2" s="61" t="n"/>
      <c r="AN2" s="61" t="inlineStr">
        <is>
          <t>Ü = Ücretsiz izin</t>
        </is>
      </c>
      <c r="AO2" s="61" t="n"/>
      <c r="AP2" s="61" t="n"/>
      <c r="AQ2" s="61" t="n"/>
      <c r="AR2" s="62" t="inlineStr">
        <is>
          <t>RT = Resmi tatil (çalışmadı)</t>
        </is>
      </c>
      <c r="AS2" s="62" t="n"/>
      <c r="AT2" s="62" t="n"/>
      <c r="AU2" s="62" t="n"/>
      <c r="AV2" s="62" t="n"/>
      <c r="AW2" s="62" t="n"/>
    </row>
    <row r="3" ht="22" customHeight="1">
      <c r="A3" s="8" t="inlineStr">
        <is>
          <t>S.N</t>
        </is>
      </c>
      <c r="B3" s="63" t="inlineStr">
        <is>
          <t>PERSONEL BİLGİLERİ</t>
        </is>
      </c>
      <c r="C3" s="8" t="inlineStr">
        <is>
          <t>BİRİM</t>
        </is>
      </c>
      <c r="D3" s="64" t="inlineStr">
        <is>
          <t>ÇALIŞILAN GÜN</t>
        </is>
      </c>
      <c r="E3" s="65" t="inlineStr">
        <is>
          <t>DEVAMSIZ GÜN</t>
        </is>
      </c>
      <c r="F3" s="65" t="inlineStr">
        <is>
          <t>İZİN / RAPOR</t>
        </is>
      </c>
      <c r="G3" s="65" t="inlineStr">
        <is>
          <t>MESAİ TOPLAM (SAAT)</t>
        </is>
      </c>
      <c r="H3" s="66" t="n">
        <v>46357</v>
      </c>
      <c r="I3" s="67" t="n"/>
      <c r="J3" s="68" t="n">
        <v>46358</v>
      </c>
      <c r="K3" s="67" t="n"/>
      <c r="L3" s="68" t="n">
        <v>46359</v>
      </c>
      <c r="M3" s="67" t="n"/>
      <c r="N3" s="68" t="n">
        <v>46360</v>
      </c>
      <c r="O3" s="67" t="n"/>
      <c r="P3" s="68" t="n">
        <v>46361</v>
      </c>
      <c r="Q3" s="67" t="n"/>
      <c r="R3" s="68" t="n">
        <v>46362</v>
      </c>
      <c r="S3" s="67" t="n"/>
      <c r="T3" s="68" t="n">
        <v>46363</v>
      </c>
      <c r="U3" s="67" t="n"/>
      <c r="V3" s="68" t="n">
        <v>46364</v>
      </c>
      <c r="W3" s="67" t="n"/>
      <c r="X3" s="68" t="n">
        <v>46365</v>
      </c>
      <c r="Y3" s="67" t="n"/>
      <c r="Z3" s="68" t="n">
        <v>46366</v>
      </c>
      <c r="AA3" s="67" t="n"/>
      <c r="AB3" s="68" t="n">
        <v>46367</v>
      </c>
      <c r="AC3" s="67" t="n"/>
      <c r="AD3" s="68" t="n">
        <v>46368</v>
      </c>
      <c r="AE3" s="67" t="n"/>
      <c r="AF3" s="68" t="n">
        <v>46369</v>
      </c>
      <c r="AG3" s="67" t="n"/>
      <c r="AH3" s="68" t="n">
        <v>46370</v>
      </c>
      <c r="AI3" s="67" t="n"/>
      <c r="AJ3" s="68" t="n">
        <v>46371</v>
      </c>
      <c r="AK3" s="67" t="n"/>
      <c r="AL3" s="68" t="n">
        <v>46372</v>
      </c>
      <c r="AM3" s="67" t="n"/>
      <c r="AN3" s="68" t="n">
        <v>46373</v>
      </c>
      <c r="AO3" s="67" t="n"/>
      <c r="AP3" s="68" t="n">
        <v>46374</v>
      </c>
      <c r="AQ3" s="67" t="n"/>
      <c r="AR3" s="68" t="n">
        <v>46375</v>
      </c>
      <c r="AS3" s="67" t="n"/>
      <c r="AT3" s="68" t="n">
        <v>46376</v>
      </c>
      <c r="AU3" s="67" t="n"/>
      <c r="AV3" s="68" t="n">
        <v>46377</v>
      </c>
      <c r="AW3" s="67" t="n"/>
      <c r="AX3" s="68" t="n">
        <v>46378</v>
      </c>
      <c r="AY3" s="67" t="n"/>
      <c r="AZ3" s="68" t="n">
        <v>46379</v>
      </c>
      <c r="BA3" s="67" t="n"/>
      <c r="BB3" s="68" t="n">
        <v>46380</v>
      </c>
      <c r="BC3" s="67" t="n"/>
      <c r="BD3" s="68" t="n">
        <v>46381</v>
      </c>
      <c r="BE3" s="67" t="n"/>
      <c r="BF3" s="68" t="n">
        <v>46382</v>
      </c>
      <c r="BG3" s="67" t="n"/>
      <c r="BH3" s="68" t="n">
        <v>46383</v>
      </c>
      <c r="BI3" s="67" t="n"/>
      <c r="BJ3" s="68" t="n">
        <v>46384</v>
      </c>
      <c r="BK3" s="67" t="n"/>
      <c r="BL3" s="68" t="n">
        <v>46385</v>
      </c>
      <c r="BM3" s="67" t="n"/>
      <c r="BN3" s="68" t="n">
        <v>46386</v>
      </c>
      <c r="BO3" s="67" t="n"/>
      <c r="BP3" s="68" t="n">
        <v>46387</v>
      </c>
      <c r="BQ3" s="67" t="n"/>
    </row>
    <row r="4" ht="70" customHeight="1">
      <c r="A4" s="8" t="n"/>
      <c r="B4" s="63" t="n"/>
      <c r="C4" s="8" t="n"/>
      <c r="D4" s="64" t="n"/>
      <c r="E4" s="65" t="n"/>
      <c r="F4" s="65" t="n"/>
      <c r="G4" s="65" t="n"/>
      <c r="H4" s="69" t="n">
        <v>46357</v>
      </c>
      <c r="I4" s="70" t="n"/>
      <c r="J4" s="71" t="n">
        <v>46358</v>
      </c>
      <c r="K4" s="70" t="n"/>
      <c r="L4" s="71" t="n">
        <v>46359</v>
      </c>
      <c r="M4" s="70" t="n"/>
      <c r="N4" s="71" t="n">
        <v>46360</v>
      </c>
      <c r="O4" s="70" t="n"/>
      <c r="P4" s="71" t="n">
        <v>46361</v>
      </c>
      <c r="Q4" s="70" t="n"/>
      <c r="R4" s="71" t="n">
        <v>46362</v>
      </c>
      <c r="S4" s="70" t="n"/>
      <c r="T4" s="71" t="n">
        <v>46363</v>
      </c>
      <c r="U4" s="70" t="n"/>
      <c r="V4" s="71" t="n">
        <v>46364</v>
      </c>
      <c r="W4" s="70" t="n"/>
      <c r="X4" s="71" t="n">
        <v>46365</v>
      </c>
      <c r="Y4" s="70" t="n"/>
      <c r="Z4" s="71" t="n">
        <v>46366</v>
      </c>
      <c r="AA4" s="70" t="n"/>
      <c r="AB4" s="71" t="n">
        <v>46367</v>
      </c>
      <c r="AC4" s="70" t="n"/>
      <c r="AD4" s="71" t="n">
        <v>46368</v>
      </c>
      <c r="AE4" s="70" t="n"/>
      <c r="AF4" s="71" t="n">
        <v>46369</v>
      </c>
      <c r="AG4" s="70" t="n"/>
      <c r="AH4" s="71" t="n">
        <v>46370</v>
      </c>
      <c r="AI4" s="70" t="n"/>
      <c r="AJ4" s="71" t="n">
        <v>46371</v>
      </c>
      <c r="AK4" s="70" t="n"/>
      <c r="AL4" s="71" t="n">
        <v>46372</v>
      </c>
      <c r="AM4" s="70" t="n"/>
      <c r="AN4" s="71" t="n">
        <v>46373</v>
      </c>
      <c r="AO4" s="70" t="n"/>
      <c r="AP4" s="71" t="n">
        <v>46374</v>
      </c>
      <c r="AQ4" s="70" t="n"/>
      <c r="AR4" s="71" t="n">
        <v>46375</v>
      </c>
      <c r="AS4" s="70" t="n"/>
      <c r="AT4" s="71" t="n">
        <v>46376</v>
      </c>
      <c r="AU4" s="70" t="n"/>
      <c r="AV4" s="71" t="n">
        <v>46377</v>
      </c>
      <c r="AW4" s="70" t="n"/>
      <c r="AX4" s="71" t="n">
        <v>46378</v>
      </c>
      <c r="AY4" s="70" t="n"/>
      <c r="AZ4" s="71" t="n">
        <v>46379</v>
      </c>
      <c r="BA4" s="70" t="n"/>
      <c r="BB4" s="71" t="n">
        <v>46380</v>
      </c>
      <c r="BC4" s="70" t="n"/>
      <c r="BD4" s="71" t="n">
        <v>46381</v>
      </c>
      <c r="BE4" s="70" t="n"/>
      <c r="BF4" s="71" t="n">
        <v>46382</v>
      </c>
      <c r="BG4" s="70" t="n"/>
      <c r="BH4" s="71" t="n">
        <v>46383</v>
      </c>
      <c r="BI4" s="70" t="n"/>
      <c r="BJ4" s="71" t="n">
        <v>46384</v>
      </c>
      <c r="BK4" s="70" t="n"/>
      <c r="BL4" s="71" t="n">
        <v>46385</v>
      </c>
      <c r="BM4" s="70" t="n"/>
      <c r="BN4" s="71" t="n">
        <v>46386</v>
      </c>
      <c r="BO4" s="70" t="n"/>
      <c r="BP4" s="71" t="n">
        <v>46387</v>
      </c>
      <c r="BQ4" s="70" t="n"/>
    </row>
    <row r="5" ht="16" customHeight="1">
      <c r="A5" s="8" t="n"/>
      <c r="B5" s="63" t="n"/>
      <c r="C5" s="8" t="n"/>
      <c r="D5" s="64" t="n"/>
      <c r="E5" s="65" t="n"/>
      <c r="F5" s="65" t="n"/>
      <c r="G5" s="65" t="n"/>
      <c r="H5" s="72" t="inlineStr">
        <is>
          <t>GÜN</t>
        </is>
      </c>
      <c r="I5" s="73" t="inlineStr">
        <is>
          <t>MESAİ</t>
        </is>
      </c>
      <c r="J5" s="73" t="inlineStr">
        <is>
          <t>GÜN</t>
        </is>
      </c>
      <c r="K5" s="73" t="inlineStr">
        <is>
          <t>MESAİ</t>
        </is>
      </c>
      <c r="L5" s="73" t="inlineStr">
        <is>
          <t>GÜN</t>
        </is>
      </c>
      <c r="M5" s="73" t="inlineStr">
        <is>
          <t>MESAİ</t>
        </is>
      </c>
      <c r="N5" s="73" t="inlineStr">
        <is>
          <t>GÜN</t>
        </is>
      </c>
      <c r="O5" s="73" t="inlineStr">
        <is>
          <t>MESAİ</t>
        </is>
      </c>
      <c r="P5" s="73" t="inlineStr">
        <is>
          <t>GÜN</t>
        </is>
      </c>
      <c r="Q5" s="73" t="inlineStr">
        <is>
          <t>MESAİ</t>
        </is>
      </c>
      <c r="R5" s="73" t="inlineStr">
        <is>
          <t>GÜN</t>
        </is>
      </c>
      <c r="S5" s="73" t="inlineStr">
        <is>
          <t>MESAİ</t>
        </is>
      </c>
      <c r="T5" s="73" t="inlineStr">
        <is>
          <t>GÜN</t>
        </is>
      </c>
      <c r="U5" s="73" t="inlineStr">
        <is>
          <t>MESAİ</t>
        </is>
      </c>
      <c r="V5" s="73" t="inlineStr">
        <is>
          <t>GÜN</t>
        </is>
      </c>
      <c r="W5" s="73" t="inlineStr">
        <is>
          <t>MESAİ</t>
        </is>
      </c>
      <c r="X5" s="73" t="inlineStr">
        <is>
          <t>GÜN</t>
        </is>
      </c>
      <c r="Y5" s="73" t="inlineStr">
        <is>
          <t>MESAİ</t>
        </is>
      </c>
      <c r="Z5" s="73" t="inlineStr">
        <is>
          <t>GÜN</t>
        </is>
      </c>
      <c r="AA5" s="73" t="inlineStr">
        <is>
          <t>MESAİ</t>
        </is>
      </c>
      <c r="AB5" s="73" t="inlineStr">
        <is>
          <t>GÜN</t>
        </is>
      </c>
      <c r="AC5" s="73" t="inlineStr">
        <is>
          <t>MESAİ</t>
        </is>
      </c>
      <c r="AD5" s="73" t="inlineStr">
        <is>
          <t>GÜN</t>
        </is>
      </c>
      <c r="AE5" s="73" t="inlineStr">
        <is>
          <t>MESAİ</t>
        </is>
      </c>
      <c r="AF5" s="73" t="inlineStr">
        <is>
          <t>GÜN</t>
        </is>
      </c>
      <c r="AG5" s="73" t="inlineStr">
        <is>
          <t>MESAİ</t>
        </is>
      </c>
      <c r="AH5" s="73" t="inlineStr">
        <is>
          <t>GÜN</t>
        </is>
      </c>
      <c r="AI5" s="73" t="inlineStr">
        <is>
          <t>MESAİ</t>
        </is>
      </c>
      <c r="AJ5" s="73" t="inlineStr">
        <is>
          <t>GÜN</t>
        </is>
      </c>
      <c r="AK5" s="73" t="inlineStr">
        <is>
          <t>MESAİ</t>
        </is>
      </c>
      <c r="AL5" s="73" t="inlineStr">
        <is>
          <t>GÜN</t>
        </is>
      </c>
      <c r="AM5" s="73" t="inlineStr">
        <is>
          <t>MESAİ</t>
        </is>
      </c>
      <c r="AN5" s="73" t="inlineStr">
        <is>
          <t>GÜN</t>
        </is>
      </c>
      <c r="AO5" s="73" t="inlineStr">
        <is>
          <t>MESAİ</t>
        </is>
      </c>
      <c r="AP5" s="73" t="inlineStr">
        <is>
          <t>GÜN</t>
        </is>
      </c>
      <c r="AQ5" s="73" t="inlineStr">
        <is>
          <t>MESAİ</t>
        </is>
      </c>
      <c r="AR5" s="73" t="inlineStr">
        <is>
          <t>GÜN</t>
        </is>
      </c>
      <c r="AS5" s="73" t="inlineStr">
        <is>
          <t>MESAİ</t>
        </is>
      </c>
      <c r="AT5" s="73" t="inlineStr">
        <is>
          <t>GÜN</t>
        </is>
      </c>
      <c r="AU5" s="73" t="inlineStr">
        <is>
          <t>MESAİ</t>
        </is>
      </c>
      <c r="AV5" s="73" t="inlineStr">
        <is>
          <t>GÜN</t>
        </is>
      </c>
      <c r="AW5" s="73" t="inlineStr">
        <is>
          <t>MESAİ</t>
        </is>
      </c>
      <c r="AX5" s="73" t="inlineStr">
        <is>
          <t>GÜN</t>
        </is>
      </c>
      <c r="AY5" s="73" t="inlineStr">
        <is>
          <t>MESAİ</t>
        </is>
      </c>
      <c r="AZ5" s="73" t="inlineStr">
        <is>
          <t>GÜN</t>
        </is>
      </c>
      <c r="BA5" s="73" t="inlineStr">
        <is>
          <t>MESAİ</t>
        </is>
      </c>
      <c r="BB5" s="73" t="inlineStr">
        <is>
          <t>GÜN</t>
        </is>
      </c>
      <c r="BC5" s="73" t="inlineStr">
        <is>
          <t>MESAİ</t>
        </is>
      </c>
      <c r="BD5" s="73" t="inlineStr">
        <is>
          <t>GÜN</t>
        </is>
      </c>
      <c r="BE5" s="73" t="inlineStr">
        <is>
          <t>MESAİ</t>
        </is>
      </c>
      <c r="BF5" s="73" t="inlineStr">
        <is>
          <t>GÜN</t>
        </is>
      </c>
      <c r="BG5" s="73" t="inlineStr">
        <is>
          <t>MESAİ</t>
        </is>
      </c>
      <c r="BH5" s="73" t="inlineStr">
        <is>
          <t>GÜN</t>
        </is>
      </c>
      <c r="BI5" s="73" t="inlineStr">
        <is>
          <t>MESAİ</t>
        </is>
      </c>
      <c r="BJ5" s="73" t="inlineStr">
        <is>
          <t>GÜN</t>
        </is>
      </c>
      <c r="BK5" s="73" t="inlineStr">
        <is>
          <t>MESAİ</t>
        </is>
      </c>
      <c r="BL5" s="73" t="inlineStr">
        <is>
          <t>GÜN</t>
        </is>
      </c>
      <c r="BM5" s="73" t="inlineStr">
        <is>
          <t>MESAİ</t>
        </is>
      </c>
      <c r="BN5" s="73" t="inlineStr">
        <is>
          <t>GÜN</t>
        </is>
      </c>
      <c r="BO5" s="73" t="inlineStr">
        <is>
          <t>MESAİ</t>
        </is>
      </c>
      <c r="BP5" s="73" t="inlineStr">
        <is>
          <t>GÜN</t>
        </is>
      </c>
      <c r="BQ5" s="73" t="inlineStr">
        <is>
          <t>MESAİ</t>
        </is>
      </c>
    </row>
    <row r="6" ht="24" customHeight="1">
      <c r="A6" s="28">
        <f>IF(Personel_Listesi!$B5="","",Personel_Listesi!$A5)</f>
        <v/>
      </c>
      <c r="B6" s="35">
        <f>IF(Personel_Listesi!$B5="","",UPPER(Personel_Listesi!$B5))</f>
        <v/>
      </c>
      <c r="C6" s="74">
        <f>IF(Personel_Listesi!$B5="","",Personel_Listesi!$C5&amp;"")</f>
        <v/>
      </c>
      <c r="D6" s="75">
        <f>IF($B6="","",SUMPRODUCT(COUNTIF($H6:$BQ6,KOD)*KOD_GUN))</f>
        <v/>
      </c>
      <c r="E6" s="76">
        <f>IF($B6="","",SUMPRODUCT(COUNTIF($H6:$BQ6,KOD)*KOD_DEVAMSIZ))</f>
        <v/>
      </c>
      <c r="F6" s="76">
        <f>IF($B6="","",SUMPRODUCT(COUNTIF($H6:$BQ6,KOD)*KOD_IZIN))</f>
        <v/>
      </c>
      <c r="G6" s="76">
        <f>IF($B6="","",SUM(I6,K6,M6,O6,Q6,S6,U6,W6,Y6,AA6,AC6,AE6,AG6,AI6,AK6,AM6,AO6,AQ6,AS6,AU6,AW6,AY6,BA6,BC6,BE6,BG6,BI6,BK6,BM6,BO6,BQ6))</f>
        <v/>
      </c>
      <c r="H6" s="77" t="n"/>
      <c r="I6" s="78" t="n"/>
      <c r="J6" s="79" t="n"/>
      <c r="K6" s="78" t="n"/>
      <c r="L6" s="79" t="n"/>
      <c r="M6" s="78" t="n"/>
      <c r="N6" s="79" t="n"/>
      <c r="O6" s="78" t="n"/>
      <c r="P6" s="79" t="n"/>
      <c r="Q6" s="78" t="n"/>
      <c r="R6" s="79" t="n"/>
      <c r="S6" s="78" t="n"/>
      <c r="T6" s="79" t="n"/>
      <c r="U6" s="78" t="n"/>
      <c r="V6" s="79" t="n"/>
      <c r="W6" s="78" t="n"/>
      <c r="X6" s="79" t="n"/>
      <c r="Y6" s="78" t="n"/>
      <c r="Z6" s="79" t="n"/>
      <c r="AA6" s="78" t="n"/>
      <c r="AB6" s="79" t="n"/>
      <c r="AC6" s="78" t="n"/>
      <c r="AD6" s="79" t="n"/>
      <c r="AE6" s="78" t="n"/>
      <c r="AF6" s="79" t="n"/>
      <c r="AG6" s="78" t="n"/>
      <c r="AH6" s="79" t="n"/>
      <c r="AI6" s="78" t="n"/>
      <c r="AJ6" s="79" t="n"/>
      <c r="AK6" s="78" t="n"/>
      <c r="AL6" s="79" t="n"/>
      <c r="AM6" s="78" t="n"/>
      <c r="AN6" s="79" t="n"/>
      <c r="AO6" s="78" t="n"/>
      <c r="AP6" s="79" t="n"/>
      <c r="AQ6" s="78" t="n"/>
      <c r="AR6" s="79" t="n"/>
      <c r="AS6" s="78" t="n"/>
      <c r="AT6" s="79" t="n"/>
      <c r="AU6" s="78" t="n"/>
      <c r="AV6" s="79" t="n"/>
      <c r="AW6" s="78" t="n"/>
      <c r="AX6" s="79" t="n"/>
      <c r="AY6" s="78" t="n"/>
      <c r="AZ6" s="79" t="n"/>
      <c r="BA6" s="78" t="n"/>
      <c r="BB6" s="79" t="n"/>
      <c r="BC6" s="78" t="n"/>
      <c r="BD6" s="79" t="n"/>
      <c r="BE6" s="78" t="n"/>
      <c r="BF6" s="79" t="n"/>
      <c r="BG6" s="78" t="n"/>
      <c r="BH6" s="79" t="n"/>
      <c r="BI6" s="78" t="n"/>
      <c r="BJ6" s="79" t="n"/>
      <c r="BK6" s="78" t="n"/>
      <c r="BL6" s="79" t="n"/>
      <c r="BM6" s="78" t="n"/>
      <c r="BN6" s="79" t="n"/>
      <c r="BO6" s="78" t="n"/>
      <c r="BP6" s="79" t="n"/>
      <c r="BQ6" s="78" t="n"/>
    </row>
    <row r="7" ht="24" customHeight="1">
      <c r="A7" s="30">
        <f>IF(Personel_Listesi!$B6="","",Personel_Listesi!$A6)</f>
        <v/>
      </c>
      <c r="B7" s="37">
        <f>IF(Personel_Listesi!$B6="","",UPPER(Personel_Listesi!$B6))</f>
        <v/>
      </c>
      <c r="C7" s="80">
        <f>IF(Personel_Listesi!$B6="","",Personel_Listesi!$C6&amp;"")</f>
        <v/>
      </c>
      <c r="D7" s="75">
        <f>IF($B7="","",SUMPRODUCT(COUNTIF($H7:$BQ7,KOD)*KOD_GUN))</f>
        <v/>
      </c>
      <c r="E7" s="76">
        <f>IF($B7="","",SUMPRODUCT(COUNTIF($H7:$BQ7,KOD)*KOD_DEVAMSIZ))</f>
        <v/>
      </c>
      <c r="F7" s="76">
        <f>IF($B7="","",SUMPRODUCT(COUNTIF($H7:$BQ7,KOD)*KOD_IZIN))</f>
        <v/>
      </c>
      <c r="G7" s="76">
        <f>IF($B7="","",SUM(I7,K7,M7,O7,Q7,S7,U7,W7,Y7,AA7,AC7,AE7,AG7,AI7,AK7,AM7,AO7,AQ7,AS7,AU7,AW7,AY7,BA7,BC7,BE7,BG7,BI7,BK7,BM7,BO7,BQ7))</f>
        <v/>
      </c>
      <c r="H7" s="81" t="n"/>
      <c r="I7" s="82" t="n"/>
      <c r="J7" s="83" t="n"/>
      <c r="K7" s="82" t="n"/>
      <c r="L7" s="83" t="n"/>
      <c r="M7" s="82" t="n"/>
      <c r="N7" s="83" t="n"/>
      <c r="O7" s="82" t="n"/>
      <c r="P7" s="83" t="n"/>
      <c r="Q7" s="82" t="n"/>
      <c r="R7" s="83" t="n"/>
      <c r="S7" s="82" t="n"/>
      <c r="T7" s="83" t="n"/>
      <c r="U7" s="82" t="n"/>
      <c r="V7" s="83" t="n"/>
      <c r="W7" s="82" t="n"/>
      <c r="X7" s="83" t="n"/>
      <c r="Y7" s="82" t="n"/>
      <c r="Z7" s="83" t="n"/>
      <c r="AA7" s="82" t="n"/>
      <c r="AB7" s="83" t="n"/>
      <c r="AC7" s="82" t="n"/>
      <c r="AD7" s="83" t="n"/>
      <c r="AE7" s="82" t="n"/>
      <c r="AF7" s="83" t="n"/>
      <c r="AG7" s="82" t="n"/>
      <c r="AH7" s="83" t="n"/>
      <c r="AI7" s="82" t="n"/>
      <c r="AJ7" s="83" t="n"/>
      <c r="AK7" s="82" t="n"/>
      <c r="AL7" s="83" t="n"/>
      <c r="AM7" s="82" t="n"/>
      <c r="AN7" s="83" t="n"/>
      <c r="AO7" s="82" t="n"/>
      <c r="AP7" s="83" t="n"/>
      <c r="AQ7" s="82" t="n"/>
      <c r="AR7" s="83" t="n"/>
      <c r="AS7" s="82" t="n"/>
      <c r="AT7" s="83" t="n"/>
      <c r="AU7" s="82" t="n"/>
      <c r="AV7" s="83" t="n"/>
      <c r="AW7" s="82" t="n"/>
      <c r="AX7" s="83" t="n"/>
      <c r="AY7" s="82" t="n"/>
      <c r="AZ7" s="83" t="n"/>
      <c r="BA7" s="82" t="n"/>
      <c r="BB7" s="83" t="n"/>
      <c r="BC7" s="82" t="n"/>
      <c r="BD7" s="83" t="n"/>
      <c r="BE7" s="82" t="n"/>
      <c r="BF7" s="83" t="n"/>
      <c r="BG7" s="82" t="n"/>
      <c r="BH7" s="83" t="n"/>
      <c r="BI7" s="82" t="n"/>
      <c r="BJ7" s="83" t="n"/>
      <c r="BK7" s="82" t="n"/>
      <c r="BL7" s="83" t="n"/>
      <c r="BM7" s="82" t="n"/>
      <c r="BN7" s="83" t="n"/>
      <c r="BO7" s="82" t="n"/>
      <c r="BP7" s="83" t="n"/>
      <c r="BQ7" s="82" t="n"/>
    </row>
    <row r="8" ht="24" customHeight="1">
      <c r="A8" s="28">
        <f>IF(Personel_Listesi!$B7="","",Personel_Listesi!$A7)</f>
        <v/>
      </c>
      <c r="B8" s="35">
        <f>IF(Personel_Listesi!$B7="","",UPPER(Personel_Listesi!$B7))</f>
        <v/>
      </c>
      <c r="C8" s="74">
        <f>IF(Personel_Listesi!$B7="","",Personel_Listesi!$C7&amp;"")</f>
        <v/>
      </c>
      <c r="D8" s="75">
        <f>IF($B8="","",SUMPRODUCT(COUNTIF($H8:$BQ8,KOD)*KOD_GUN))</f>
        <v/>
      </c>
      <c r="E8" s="76">
        <f>IF($B8="","",SUMPRODUCT(COUNTIF($H8:$BQ8,KOD)*KOD_DEVAMSIZ))</f>
        <v/>
      </c>
      <c r="F8" s="76">
        <f>IF($B8="","",SUMPRODUCT(COUNTIF($H8:$BQ8,KOD)*KOD_IZIN))</f>
        <v/>
      </c>
      <c r="G8" s="76">
        <f>IF($B8="","",SUM(I8,K8,M8,O8,Q8,S8,U8,W8,Y8,AA8,AC8,AE8,AG8,AI8,AK8,AM8,AO8,AQ8,AS8,AU8,AW8,AY8,BA8,BC8,BE8,BG8,BI8,BK8,BM8,BO8,BQ8))</f>
        <v/>
      </c>
      <c r="H8" s="77" t="n"/>
      <c r="I8" s="78" t="n"/>
      <c r="J8" s="79" t="n"/>
      <c r="K8" s="78" t="n"/>
      <c r="L8" s="79" t="n"/>
      <c r="M8" s="78" t="n"/>
      <c r="N8" s="79" t="n"/>
      <c r="O8" s="78" t="n"/>
      <c r="P8" s="79" t="n"/>
      <c r="Q8" s="78" t="n"/>
      <c r="R8" s="79" t="n"/>
      <c r="S8" s="78" t="n"/>
      <c r="T8" s="79" t="n"/>
      <c r="U8" s="78" t="n"/>
      <c r="V8" s="79" t="n"/>
      <c r="W8" s="78" t="n"/>
      <c r="X8" s="79" t="n"/>
      <c r="Y8" s="78" t="n"/>
      <c r="Z8" s="79" t="n"/>
      <c r="AA8" s="78" t="n"/>
      <c r="AB8" s="79" t="n"/>
      <c r="AC8" s="78" t="n"/>
      <c r="AD8" s="79" t="n"/>
      <c r="AE8" s="78" t="n"/>
      <c r="AF8" s="79" t="n"/>
      <c r="AG8" s="78" t="n"/>
      <c r="AH8" s="79" t="n"/>
      <c r="AI8" s="78" t="n"/>
      <c r="AJ8" s="79" t="n"/>
      <c r="AK8" s="78" t="n"/>
      <c r="AL8" s="79" t="n"/>
      <c r="AM8" s="78" t="n"/>
      <c r="AN8" s="79" t="n"/>
      <c r="AO8" s="78" t="n"/>
      <c r="AP8" s="79" t="n"/>
      <c r="AQ8" s="78" t="n"/>
      <c r="AR8" s="79" t="n"/>
      <c r="AS8" s="78" t="n"/>
      <c r="AT8" s="79" t="n"/>
      <c r="AU8" s="78" t="n"/>
      <c r="AV8" s="79" t="n"/>
      <c r="AW8" s="78" t="n"/>
      <c r="AX8" s="79" t="n"/>
      <c r="AY8" s="78" t="n"/>
      <c r="AZ8" s="79" t="n"/>
      <c r="BA8" s="78" t="n"/>
      <c r="BB8" s="79" t="n"/>
      <c r="BC8" s="78" t="n"/>
      <c r="BD8" s="79" t="n"/>
      <c r="BE8" s="78" t="n"/>
      <c r="BF8" s="79" t="n"/>
      <c r="BG8" s="78" t="n"/>
      <c r="BH8" s="79" t="n"/>
      <c r="BI8" s="78" t="n"/>
      <c r="BJ8" s="79" t="n"/>
      <c r="BK8" s="78" t="n"/>
      <c r="BL8" s="79" t="n"/>
      <c r="BM8" s="78" t="n"/>
      <c r="BN8" s="79" t="n"/>
      <c r="BO8" s="78" t="n"/>
      <c r="BP8" s="79" t="n"/>
      <c r="BQ8" s="78" t="n"/>
    </row>
    <row r="9" ht="24" customHeight="1">
      <c r="A9" s="30">
        <f>IF(Personel_Listesi!$B8="","",Personel_Listesi!$A8)</f>
        <v/>
      </c>
      <c r="B9" s="37">
        <f>IF(Personel_Listesi!$B8="","",UPPER(Personel_Listesi!$B8))</f>
        <v/>
      </c>
      <c r="C9" s="80">
        <f>IF(Personel_Listesi!$B8="","",Personel_Listesi!$C8&amp;"")</f>
        <v/>
      </c>
      <c r="D9" s="75">
        <f>IF($B9="","",SUMPRODUCT(COUNTIF($H9:$BQ9,KOD)*KOD_GUN))</f>
        <v/>
      </c>
      <c r="E9" s="76">
        <f>IF($B9="","",SUMPRODUCT(COUNTIF($H9:$BQ9,KOD)*KOD_DEVAMSIZ))</f>
        <v/>
      </c>
      <c r="F9" s="76">
        <f>IF($B9="","",SUMPRODUCT(COUNTIF($H9:$BQ9,KOD)*KOD_IZIN))</f>
        <v/>
      </c>
      <c r="G9" s="76">
        <f>IF($B9="","",SUM(I9,K9,M9,O9,Q9,S9,U9,W9,Y9,AA9,AC9,AE9,AG9,AI9,AK9,AM9,AO9,AQ9,AS9,AU9,AW9,AY9,BA9,BC9,BE9,BG9,BI9,BK9,BM9,BO9,BQ9))</f>
        <v/>
      </c>
      <c r="H9" s="81" t="n"/>
      <c r="I9" s="82" t="n"/>
      <c r="J9" s="83" t="n"/>
      <c r="K9" s="82" t="n"/>
      <c r="L9" s="83" t="n"/>
      <c r="M9" s="82" t="n"/>
      <c r="N9" s="83" t="n"/>
      <c r="O9" s="82" t="n"/>
      <c r="P9" s="83" t="n"/>
      <c r="Q9" s="82" t="n"/>
      <c r="R9" s="83" t="n"/>
      <c r="S9" s="82" t="n"/>
      <c r="T9" s="83" t="n"/>
      <c r="U9" s="82" t="n"/>
      <c r="V9" s="83" t="n"/>
      <c r="W9" s="82" t="n"/>
      <c r="X9" s="83" t="n"/>
      <c r="Y9" s="82" t="n"/>
      <c r="Z9" s="83" t="n"/>
      <c r="AA9" s="82" t="n"/>
      <c r="AB9" s="83" t="n"/>
      <c r="AC9" s="82" t="n"/>
      <c r="AD9" s="83" t="n"/>
      <c r="AE9" s="82" t="n"/>
      <c r="AF9" s="83" t="n"/>
      <c r="AG9" s="82" t="n"/>
      <c r="AH9" s="83" t="n"/>
      <c r="AI9" s="82" t="n"/>
      <c r="AJ9" s="83" t="n"/>
      <c r="AK9" s="82" t="n"/>
      <c r="AL9" s="83" t="n"/>
      <c r="AM9" s="82" t="n"/>
      <c r="AN9" s="83" t="n"/>
      <c r="AO9" s="82" t="n"/>
      <c r="AP9" s="83" t="n"/>
      <c r="AQ9" s="82" t="n"/>
      <c r="AR9" s="83" t="n"/>
      <c r="AS9" s="82" t="n"/>
      <c r="AT9" s="83" t="n"/>
      <c r="AU9" s="82" t="n"/>
      <c r="AV9" s="83" t="n"/>
      <c r="AW9" s="82" t="n"/>
      <c r="AX9" s="83" t="n"/>
      <c r="AY9" s="82" t="n"/>
      <c r="AZ9" s="83" t="n"/>
      <c r="BA9" s="82" t="n"/>
      <c r="BB9" s="83" t="n"/>
      <c r="BC9" s="82" t="n"/>
      <c r="BD9" s="83" t="n"/>
      <c r="BE9" s="82" t="n"/>
      <c r="BF9" s="83" t="n"/>
      <c r="BG9" s="82" t="n"/>
      <c r="BH9" s="83" t="n"/>
      <c r="BI9" s="82" t="n"/>
      <c r="BJ9" s="83" t="n"/>
      <c r="BK9" s="82" t="n"/>
      <c r="BL9" s="83" t="n"/>
      <c r="BM9" s="82" t="n"/>
      <c r="BN9" s="83" t="n"/>
      <c r="BO9" s="82" t="n"/>
      <c r="BP9" s="83" t="n"/>
      <c r="BQ9" s="82" t="n"/>
    </row>
    <row r="10" ht="24" customHeight="1">
      <c r="A10" s="28">
        <f>IF(Personel_Listesi!$B9="","",Personel_Listesi!$A9)</f>
        <v/>
      </c>
      <c r="B10" s="35">
        <f>IF(Personel_Listesi!$B9="","",UPPER(Personel_Listesi!$B9))</f>
        <v/>
      </c>
      <c r="C10" s="74">
        <f>IF(Personel_Listesi!$B9="","",Personel_Listesi!$C9&amp;"")</f>
        <v/>
      </c>
      <c r="D10" s="75">
        <f>IF($B10="","",SUMPRODUCT(COUNTIF($H10:$BQ10,KOD)*KOD_GUN))</f>
        <v/>
      </c>
      <c r="E10" s="76">
        <f>IF($B10="","",SUMPRODUCT(COUNTIF($H10:$BQ10,KOD)*KOD_DEVAMSIZ))</f>
        <v/>
      </c>
      <c r="F10" s="76">
        <f>IF($B10="","",SUMPRODUCT(COUNTIF($H10:$BQ10,KOD)*KOD_IZIN))</f>
        <v/>
      </c>
      <c r="G10" s="76">
        <f>IF($B10="","",SUM(I10,K10,M10,O10,Q10,S10,U10,W10,Y10,AA10,AC10,AE10,AG10,AI10,AK10,AM10,AO10,AQ10,AS10,AU10,AW10,AY10,BA10,BC10,BE10,BG10,BI10,BK10,BM10,BO10,BQ10))</f>
        <v/>
      </c>
      <c r="H10" s="77" t="n"/>
      <c r="I10" s="78" t="n"/>
      <c r="J10" s="79" t="n"/>
      <c r="K10" s="78" t="n"/>
      <c r="L10" s="79" t="n"/>
      <c r="M10" s="78" t="n"/>
      <c r="N10" s="79" t="n"/>
      <c r="O10" s="78" t="n"/>
      <c r="P10" s="79" t="n"/>
      <c r="Q10" s="78" t="n"/>
      <c r="R10" s="79" t="n"/>
      <c r="S10" s="78" t="n"/>
      <c r="T10" s="79" t="n"/>
      <c r="U10" s="78" t="n"/>
      <c r="V10" s="79" t="n"/>
      <c r="W10" s="78" t="n"/>
      <c r="X10" s="79" t="n"/>
      <c r="Y10" s="78" t="n"/>
      <c r="Z10" s="79" t="n"/>
      <c r="AA10" s="78" t="n"/>
      <c r="AB10" s="79" t="n"/>
      <c r="AC10" s="78" t="n"/>
      <c r="AD10" s="79" t="n"/>
      <c r="AE10" s="78" t="n"/>
      <c r="AF10" s="79" t="n"/>
      <c r="AG10" s="78" t="n"/>
      <c r="AH10" s="79" t="n"/>
      <c r="AI10" s="78" t="n"/>
      <c r="AJ10" s="79" t="n"/>
      <c r="AK10" s="78" t="n"/>
      <c r="AL10" s="79" t="n"/>
      <c r="AM10" s="78" t="n"/>
      <c r="AN10" s="79" t="n"/>
      <c r="AO10" s="78" t="n"/>
      <c r="AP10" s="79" t="n"/>
      <c r="AQ10" s="78" t="n"/>
      <c r="AR10" s="79" t="n"/>
      <c r="AS10" s="78" t="n"/>
      <c r="AT10" s="79" t="n"/>
      <c r="AU10" s="78" t="n"/>
      <c r="AV10" s="79" t="n"/>
      <c r="AW10" s="78" t="n"/>
      <c r="AX10" s="79" t="n"/>
      <c r="AY10" s="78" t="n"/>
      <c r="AZ10" s="79" t="n"/>
      <c r="BA10" s="78" t="n"/>
      <c r="BB10" s="79" t="n"/>
      <c r="BC10" s="78" t="n"/>
      <c r="BD10" s="79" t="n"/>
      <c r="BE10" s="78" t="n"/>
      <c r="BF10" s="79" t="n"/>
      <c r="BG10" s="78" t="n"/>
      <c r="BH10" s="79" t="n"/>
      <c r="BI10" s="78" t="n"/>
      <c r="BJ10" s="79" t="n"/>
      <c r="BK10" s="78" t="n"/>
      <c r="BL10" s="79" t="n"/>
      <c r="BM10" s="78" t="n"/>
      <c r="BN10" s="79" t="n"/>
      <c r="BO10" s="78" t="n"/>
      <c r="BP10" s="79" t="n"/>
      <c r="BQ10" s="78" t="n"/>
    </row>
    <row r="11" ht="24" customHeight="1">
      <c r="A11" s="30">
        <f>IF(Personel_Listesi!$B10="","",Personel_Listesi!$A10)</f>
        <v/>
      </c>
      <c r="B11" s="37">
        <f>IF(Personel_Listesi!$B10="","",UPPER(Personel_Listesi!$B10))</f>
        <v/>
      </c>
      <c r="C11" s="80">
        <f>IF(Personel_Listesi!$B10="","",Personel_Listesi!$C10&amp;"")</f>
        <v/>
      </c>
      <c r="D11" s="75">
        <f>IF($B11="","",SUMPRODUCT(COUNTIF($H11:$BQ11,KOD)*KOD_GUN))</f>
        <v/>
      </c>
      <c r="E11" s="76">
        <f>IF($B11="","",SUMPRODUCT(COUNTIF($H11:$BQ11,KOD)*KOD_DEVAMSIZ))</f>
        <v/>
      </c>
      <c r="F11" s="76">
        <f>IF($B11="","",SUMPRODUCT(COUNTIF($H11:$BQ11,KOD)*KOD_IZIN))</f>
        <v/>
      </c>
      <c r="G11" s="76">
        <f>IF($B11="","",SUM(I11,K11,M11,O11,Q11,S11,U11,W11,Y11,AA11,AC11,AE11,AG11,AI11,AK11,AM11,AO11,AQ11,AS11,AU11,AW11,AY11,BA11,BC11,BE11,BG11,BI11,BK11,BM11,BO11,BQ11))</f>
        <v/>
      </c>
      <c r="H11" s="81" t="n"/>
      <c r="I11" s="82" t="n"/>
      <c r="J11" s="83" t="n"/>
      <c r="K11" s="82" t="n"/>
      <c r="L11" s="83" t="n"/>
      <c r="M11" s="82" t="n"/>
      <c r="N11" s="83" t="n"/>
      <c r="O11" s="82" t="n"/>
      <c r="P11" s="83" t="n"/>
      <c r="Q11" s="82" t="n"/>
      <c r="R11" s="83" t="n"/>
      <c r="S11" s="82" t="n"/>
      <c r="T11" s="83" t="n"/>
      <c r="U11" s="82" t="n"/>
      <c r="V11" s="83" t="n"/>
      <c r="W11" s="82" t="n"/>
      <c r="X11" s="83" t="n"/>
      <c r="Y11" s="82" t="n"/>
      <c r="Z11" s="83" t="n"/>
      <c r="AA11" s="82" t="n"/>
      <c r="AB11" s="83" t="n"/>
      <c r="AC11" s="82" t="n"/>
      <c r="AD11" s="83" t="n"/>
      <c r="AE11" s="82" t="n"/>
      <c r="AF11" s="83" t="n"/>
      <c r="AG11" s="82" t="n"/>
      <c r="AH11" s="83" t="n"/>
      <c r="AI11" s="82" t="n"/>
      <c r="AJ11" s="83" t="n"/>
      <c r="AK11" s="82" t="n"/>
      <c r="AL11" s="83" t="n"/>
      <c r="AM11" s="82" t="n"/>
      <c r="AN11" s="83" t="n"/>
      <c r="AO11" s="82" t="n"/>
      <c r="AP11" s="83" t="n"/>
      <c r="AQ11" s="82" t="n"/>
      <c r="AR11" s="83" t="n"/>
      <c r="AS11" s="82" t="n"/>
      <c r="AT11" s="83" t="n"/>
      <c r="AU11" s="82" t="n"/>
      <c r="AV11" s="83" t="n"/>
      <c r="AW11" s="82" t="n"/>
      <c r="AX11" s="83" t="n"/>
      <c r="AY11" s="82" t="n"/>
      <c r="AZ11" s="83" t="n"/>
      <c r="BA11" s="82" t="n"/>
      <c r="BB11" s="83" t="n"/>
      <c r="BC11" s="82" t="n"/>
      <c r="BD11" s="83" t="n"/>
      <c r="BE11" s="82" t="n"/>
      <c r="BF11" s="83" t="n"/>
      <c r="BG11" s="82" t="n"/>
      <c r="BH11" s="83" t="n"/>
      <c r="BI11" s="82" t="n"/>
      <c r="BJ11" s="83" t="n"/>
      <c r="BK11" s="82" t="n"/>
      <c r="BL11" s="83" t="n"/>
      <c r="BM11" s="82" t="n"/>
      <c r="BN11" s="83" t="n"/>
      <c r="BO11" s="82" t="n"/>
      <c r="BP11" s="83" t="n"/>
      <c r="BQ11" s="82" t="n"/>
    </row>
    <row r="12" ht="24" customHeight="1">
      <c r="A12" s="28">
        <f>IF(Personel_Listesi!$B11="","",Personel_Listesi!$A11)</f>
        <v/>
      </c>
      <c r="B12" s="35">
        <f>IF(Personel_Listesi!$B11="","",UPPER(Personel_Listesi!$B11))</f>
        <v/>
      </c>
      <c r="C12" s="74">
        <f>IF(Personel_Listesi!$B11="","",Personel_Listesi!$C11&amp;"")</f>
        <v/>
      </c>
      <c r="D12" s="75">
        <f>IF($B12="","",SUMPRODUCT(COUNTIF($H12:$BQ12,KOD)*KOD_GUN))</f>
        <v/>
      </c>
      <c r="E12" s="76">
        <f>IF($B12="","",SUMPRODUCT(COUNTIF($H12:$BQ12,KOD)*KOD_DEVAMSIZ))</f>
        <v/>
      </c>
      <c r="F12" s="76">
        <f>IF($B12="","",SUMPRODUCT(COUNTIF($H12:$BQ12,KOD)*KOD_IZIN))</f>
        <v/>
      </c>
      <c r="G12" s="76">
        <f>IF($B12="","",SUM(I12,K12,M12,O12,Q12,S12,U12,W12,Y12,AA12,AC12,AE12,AG12,AI12,AK12,AM12,AO12,AQ12,AS12,AU12,AW12,AY12,BA12,BC12,BE12,BG12,BI12,BK12,BM12,BO12,BQ12))</f>
        <v/>
      </c>
      <c r="H12" s="77" t="n"/>
      <c r="I12" s="78" t="n"/>
      <c r="J12" s="79" t="n"/>
      <c r="K12" s="78" t="n"/>
      <c r="L12" s="79" t="n"/>
      <c r="M12" s="78" t="n"/>
      <c r="N12" s="79" t="n"/>
      <c r="O12" s="78" t="n"/>
      <c r="P12" s="79" t="n"/>
      <c r="Q12" s="78" t="n"/>
      <c r="R12" s="79" t="n"/>
      <c r="S12" s="78" t="n"/>
      <c r="T12" s="79" t="n"/>
      <c r="U12" s="78" t="n"/>
      <c r="V12" s="79" t="n"/>
      <c r="W12" s="78" t="n"/>
      <c r="X12" s="79" t="n"/>
      <c r="Y12" s="78" t="n"/>
      <c r="Z12" s="79" t="n"/>
      <c r="AA12" s="78" t="n"/>
      <c r="AB12" s="79" t="n"/>
      <c r="AC12" s="78" t="n"/>
      <c r="AD12" s="79" t="n"/>
      <c r="AE12" s="78" t="n"/>
      <c r="AF12" s="79" t="n"/>
      <c r="AG12" s="78" t="n"/>
      <c r="AH12" s="79" t="n"/>
      <c r="AI12" s="78" t="n"/>
      <c r="AJ12" s="79" t="n"/>
      <c r="AK12" s="78" t="n"/>
      <c r="AL12" s="79" t="n"/>
      <c r="AM12" s="78" t="n"/>
      <c r="AN12" s="79" t="n"/>
      <c r="AO12" s="78" t="n"/>
      <c r="AP12" s="79" t="n"/>
      <c r="AQ12" s="78" t="n"/>
      <c r="AR12" s="79" t="n"/>
      <c r="AS12" s="78" t="n"/>
      <c r="AT12" s="79" t="n"/>
      <c r="AU12" s="78" t="n"/>
      <c r="AV12" s="79" t="n"/>
      <c r="AW12" s="78" t="n"/>
      <c r="AX12" s="79" t="n"/>
      <c r="AY12" s="78" t="n"/>
      <c r="AZ12" s="79" t="n"/>
      <c r="BA12" s="78" t="n"/>
      <c r="BB12" s="79" t="n"/>
      <c r="BC12" s="78" t="n"/>
      <c r="BD12" s="79" t="n"/>
      <c r="BE12" s="78" t="n"/>
      <c r="BF12" s="79" t="n"/>
      <c r="BG12" s="78" t="n"/>
      <c r="BH12" s="79" t="n"/>
      <c r="BI12" s="78" t="n"/>
      <c r="BJ12" s="79" t="n"/>
      <c r="BK12" s="78" t="n"/>
      <c r="BL12" s="79" t="n"/>
      <c r="BM12" s="78" t="n"/>
      <c r="BN12" s="79" t="n"/>
      <c r="BO12" s="78" t="n"/>
      <c r="BP12" s="79" t="n"/>
      <c r="BQ12" s="78" t="n"/>
    </row>
    <row r="13" ht="24" customHeight="1">
      <c r="A13" s="30">
        <f>IF(Personel_Listesi!$B12="","",Personel_Listesi!$A12)</f>
        <v/>
      </c>
      <c r="B13" s="37">
        <f>IF(Personel_Listesi!$B12="","",UPPER(Personel_Listesi!$B12))</f>
        <v/>
      </c>
      <c r="C13" s="80">
        <f>IF(Personel_Listesi!$B12="","",Personel_Listesi!$C12&amp;"")</f>
        <v/>
      </c>
      <c r="D13" s="75">
        <f>IF($B13="","",SUMPRODUCT(COUNTIF($H13:$BQ13,KOD)*KOD_GUN))</f>
        <v/>
      </c>
      <c r="E13" s="76">
        <f>IF($B13="","",SUMPRODUCT(COUNTIF($H13:$BQ13,KOD)*KOD_DEVAMSIZ))</f>
        <v/>
      </c>
      <c r="F13" s="76">
        <f>IF($B13="","",SUMPRODUCT(COUNTIF($H13:$BQ13,KOD)*KOD_IZIN))</f>
        <v/>
      </c>
      <c r="G13" s="76">
        <f>IF($B13="","",SUM(I13,K13,M13,O13,Q13,S13,U13,W13,Y13,AA13,AC13,AE13,AG13,AI13,AK13,AM13,AO13,AQ13,AS13,AU13,AW13,AY13,BA13,BC13,BE13,BG13,BI13,BK13,BM13,BO13,BQ13))</f>
        <v/>
      </c>
      <c r="H13" s="81" t="n"/>
      <c r="I13" s="82" t="n"/>
      <c r="J13" s="83" t="n"/>
      <c r="K13" s="82" t="n"/>
      <c r="L13" s="83" t="n"/>
      <c r="M13" s="82" t="n"/>
      <c r="N13" s="83" t="n"/>
      <c r="O13" s="82" t="n"/>
      <c r="P13" s="83" t="n"/>
      <c r="Q13" s="82" t="n"/>
      <c r="R13" s="83" t="n"/>
      <c r="S13" s="82" t="n"/>
      <c r="T13" s="83" t="n"/>
      <c r="U13" s="82" t="n"/>
      <c r="V13" s="83" t="n"/>
      <c r="W13" s="82" t="n"/>
      <c r="X13" s="83" t="n"/>
      <c r="Y13" s="82" t="n"/>
      <c r="Z13" s="83" t="n"/>
      <c r="AA13" s="82" t="n"/>
      <c r="AB13" s="83" t="n"/>
      <c r="AC13" s="82" t="n"/>
      <c r="AD13" s="83" t="n"/>
      <c r="AE13" s="82" t="n"/>
      <c r="AF13" s="83" t="n"/>
      <c r="AG13" s="82" t="n"/>
      <c r="AH13" s="83" t="n"/>
      <c r="AI13" s="82" t="n"/>
      <c r="AJ13" s="83" t="n"/>
      <c r="AK13" s="82" t="n"/>
      <c r="AL13" s="83" t="n"/>
      <c r="AM13" s="82" t="n"/>
      <c r="AN13" s="83" t="n"/>
      <c r="AO13" s="82" t="n"/>
      <c r="AP13" s="83" t="n"/>
      <c r="AQ13" s="82" t="n"/>
      <c r="AR13" s="83" t="n"/>
      <c r="AS13" s="82" t="n"/>
      <c r="AT13" s="83" t="n"/>
      <c r="AU13" s="82" t="n"/>
      <c r="AV13" s="83" t="n"/>
      <c r="AW13" s="82" t="n"/>
      <c r="AX13" s="83" t="n"/>
      <c r="AY13" s="82" t="n"/>
      <c r="AZ13" s="83" t="n"/>
      <c r="BA13" s="82" t="n"/>
      <c r="BB13" s="83" t="n"/>
      <c r="BC13" s="82" t="n"/>
      <c r="BD13" s="83" t="n"/>
      <c r="BE13" s="82" t="n"/>
      <c r="BF13" s="83" t="n"/>
      <c r="BG13" s="82" t="n"/>
      <c r="BH13" s="83" t="n"/>
      <c r="BI13" s="82" t="n"/>
      <c r="BJ13" s="83" t="n"/>
      <c r="BK13" s="82" t="n"/>
      <c r="BL13" s="83" t="n"/>
      <c r="BM13" s="82" t="n"/>
      <c r="BN13" s="83" t="n"/>
      <c r="BO13" s="82" t="n"/>
      <c r="BP13" s="83" t="n"/>
      <c r="BQ13" s="82" t="n"/>
    </row>
    <row r="14" ht="24" customHeight="1">
      <c r="A14" s="28">
        <f>IF(Personel_Listesi!$B13="","",Personel_Listesi!$A13)</f>
        <v/>
      </c>
      <c r="B14" s="35">
        <f>IF(Personel_Listesi!$B13="","",UPPER(Personel_Listesi!$B13))</f>
        <v/>
      </c>
      <c r="C14" s="74">
        <f>IF(Personel_Listesi!$B13="","",Personel_Listesi!$C13&amp;"")</f>
        <v/>
      </c>
      <c r="D14" s="75">
        <f>IF($B14="","",SUMPRODUCT(COUNTIF($H14:$BQ14,KOD)*KOD_GUN))</f>
        <v/>
      </c>
      <c r="E14" s="76">
        <f>IF($B14="","",SUMPRODUCT(COUNTIF($H14:$BQ14,KOD)*KOD_DEVAMSIZ))</f>
        <v/>
      </c>
      <c r="F14" s="76">
        <f>IF($B14="","",SUMPRODUCT(COUNTIF($H14:$BQ14,KOD)*KOD_IZIN))</f>
        <v/>
      </c>
      <c r="G14" s="76">
        <f>IF($B14="","",SUM(I14,K14,M14,O14,Q14,S14,U14,W14,Y14,AA14,AC14,AE14,AG14,AI14,AK14,AM14,AO14,AQ14,AS14,AU14,AW14,AY14,BA14,BC14,BE14,BG14,BI14,BK14,BM14,BO14,BQ14))</f>
        <v/>
      </c>
      <c r="H14" s="77" t="n"/>
      <c r="I14" s="78" t="n"/>
      <c r="J14" s="79" t="n"/>
      <c r="K14" s="78" t="n"/>
      <c r="L14" s="79" t="n"/>
      <c r="M14" s="78" t="n"/>
      <c r="N14" s="79" t="n"/>
      <c r="O14" s="78" t="n"/>
      <c r="P14" s="79" t="n"/>
      <c r="Q14" s="78" t="n"/>
      <c r="R14" s="79" t="n"/>
      <c r="S14" s="78" t="n"/>
      <c r="T14" s="79" t="n"/>
      <c r="U14" s="78" t="n"/>
      <c r="V14" s="79" t="n"/>
      <c r="W14" s="78" t="n"/>
      <c r="X14" s="79" t="n"/>
      <c r="Y14" s="78" t="n"/>
      <c r="Z14" s="79" t="n"/>
      <c r="AA14" s="78" t="n"/>
      <c r="AB14" s="79" t="n"/>
      <c r="AC14" s="78" t="n"/>
      <c r="AD14" s="79" t="n"/>
      <c r="AE14" s="78" t="n"/>
      <c r="AF14" s="79" t="n"/>
      <c r="AG14" s="78" t="n"/>
      <c r="AH14" s="79" t="n"/>
      <c r="AI14" s="78" t="n"/>
      <c r="AJ14" s="79" t="n"/>
      <c r="AK14" s="78" t="n"/>
      <c r="AL14" s="79" t="n"/>
      <c r="AM14" s="78" t="n"/>
      <c r="AN14" s="79" t="n"/>
      <c r="AO14" s="78" t="n"/>
      <c r="AP14" s="79" t="n"/>
      <c r="AQ14" s="78" t="n"/>
      <c r="AR14" s="79" t="n"/>
      <c r="AS14" s="78" t="n"/>
      <c r="AT14" s="79" t="n"/>
      <c r="AU14" s="78" t="n"/>
      <c r="AV14" s="79" t="n"/>
      <c r="AW14" s="78" t="n"/>
      <c r="AX14" s="79" t="n"/>
      <c r="AY14" s="78" t="n"/>
      <c r="AZ14" s="79" t="n"/>
      <c r="BA14" s="78" t="n"/>
      <c r="BB14" s="79" t="n"/>
      <c r="BC14" s="78" t="n"/>
      <c r="BD14" s="79" t="n"/>
      <c r="BE14" s="78" t="n"/>
      <c r="BF14" s="79" t="n"/>
      <c r="BG14" s="78" t="n"/>
      <c r="BH14" s="79" t="n"/>
      <c r="BI14" s="78" t="n"/>
      <c r="BJ14" s="79" t="n"/>
      <c r="BK14" s="78" t="n"/>
      <c r="BL14" s="79" t="n"/>
      <c r="BM14" s="78" t="n"/>
      <c r="BN14" s="79" t="n"/>
      <c r="BO14" s="78" t="n"/>
      <c r="BP14" s="79" t="n"/>
      <c r="BQ14" s="78" t="n"/>
    </row>
    <row r="15" ht="24" customHeight="1">
      <c r="A15" s="30">
        <f>IF(Personel_Listesi!$B14="","",Personel_Listesi!$A14)</f>
        <v/>
      </c>
      <c r="B15" s="37">
        <f>IF(Personel_Listesi!$B14="","",UPPER(Personel_Listesi!$B14))</f>
        <v/>
      </c>
      <c r="C15" s="80">
        <f>IF(Personel_Listesi!$B14="","",Personel_Listesi!$C14&amp;"")</f>
        <v/>
      </c>
      <c r="D15" s="75">
        <f>IF($B15="","",SUMPRODUCT(COUNTIF($H15:$BQ15,KOD)*KOD_GUN))</f>
        <v/>
      </c>
      <c r="E15" s="76">
        <f>IF($B15="","",SUMPRODUCT(COUNTIF($H15:$BQ15,KOD)*KOD_DEVAMSIZ))</f>
        <v/>
      </c>
      <c r="F15" s="76">
        <f>IF($B15="","",SUMPRODUCT(COUNTIF($H15:$BQ15,KOD)*KOD_IZIN))</f>
        <v/>
      </c>
      <c r="G15" s="76">
        <f>IF($B15="","",SUM(I15,K15,M15,O15,Q15,S15,U15,W15,Y15,AA15,AC15,AE15,AG15,AI15,AK15,AM15,AO15,AQ15,AS15,AU15,AW15,AY15,BA15,BC15,BE15,BG15,BI15,BK15,BM15,BO15,BQ15))</f>
        <v/>
      </c>
      <c r="H15" s="81" t="n"/>
      <c r="I15" s="82" t="n"/>
      <c r="J15" s="83" t="n"/>
      <c r="K15" s="82" t="n"/>
      <c r="L15" s="83" t="n"/>
      <c r="M15" s="82" t="n"/>
      <c r="N15" s="83" t="n"/>
      <c r="O15" s="82" t="n"/>
      <c r="P15" s="83" t="n"/>
      <c r="Q15" s="82" t="n"/>
      <c r="R15" s="83" t="n"/>
      <c r="S15" s="82" t="n"/>
      <c r="T15" s="83" t="n"/>
      <c r="U15" s="82" t="n"/>
      <c r="V15" s="83" t="n"/>
      <c r="W15" s="82" t="n"/>
      <c r="X15" s="83" t="n"/>
      <c r="Y15" s="82" t="n"/>
      <c r="Z15" s="83" t="n"/>
      <c r="AA15" s="82" t="n"/>
      <c r="AB15" s="83" t="n"/>
      <c r="AC15" s="82" t="n"/>
      <c r="AD15" s="83" t="n"/>
      <c r="AE15" s="82" t="n"/>
      <c r="AF15" s="83" t="n"/>
      <c r="AG15" s="82" t="n"/>
      <c r="AH15" s="83" t="n"/>
      <c r="AI15" s="82" t="n"/>
      <c r="AJ15" s="83" t="n"/>
      <c r="AK15" s="82" t="n"/>
      <c r="AL15" s="83" t="n"/>
      <c r="AM15" s="82" t="n"/>
      <c r="AN15" s="83" t="n"/>
      <c r="AO15" s="82" t="n"/>
      <c r="AP15" s="83" t="n"/>
      <c r="AQ15" s="82" t="n"/>
      <c r="AR15" s="83" t="n"/>
      <c r="AS15" s="82" t="n"/>
      <c r="AT15" s="83" t="n"/>
      <c r="AU15" s="82" t="n"/>
      <c r="AV15" s="83" t="n"/>
      <c r="AW15" s="82" t="n"/>
      <c r="AX15" s="83" t="n"/>
      <c r="AY15" s="82" t="n"/>
      <c r="AZ15" s="83" t="n"/>
      <c r="BA15" s="82" t="n"/>
      <c r="BB15" s="83" t="n"/>
      <c r="BC15" s="82" t="n"/>
      <c r="BD15" s="83" t="n"/>
      <c r="BE15" s="82" t="n"/>
      <c r="BF15" s="83" t="n"/>
      <c r="BG15" s="82" t="n"/>
      <c r="BH15" s="83" t="n"/>
      <c r="BI15" s="82" t="n"/>
      <c r="BJ15" s="83" t="n"/>
      <c r="BK15" s="82" t="n"/>
      <c r="BL15" s="83" t="n"/>
      <c r="BM15" s="82" t="n"/>
      <c r="BN15" s="83" t="n"/>
      <c r="BO15" s="82" t="n"/>
      <c r="BP15" s="83" t="n"/>
      <c r="BQ15" s="82" t="n"/>
    </row>
    <row r="16" ht="24" customHeight="1">
      <c r="A16" s="28">
        <f>IF(Personel_Listesi!$B15="","",Personel_Listesi!$A15)</f>
        <v/>
      </c>
      <c r="B16" s="35">
        <f>IF(Personel_Listesi!$B15="","",UPPER(Personel_Listesi!$B15))</f>
        <v/>
      </c>
      <c r="C16" s="74">
        <f>IF(Personel_Listesi!$B15="","",Personel_Listesi!$C15&amp;"")</f>
        <v/>
      </c>
      <c r="D16" s="75">
        <f>IF($B16="","",SUMPRODUCT(COUNTIF($H16:$BQ16,KOD)*KOD_GUN))</f>
        <v/>
      </c>
      <c r="E16" s="76">
        <f>IF($B16="","",SUMPRODUCT(COUNTIF($H16:$BQ16,KOD)*KOD_DEVAMSIZ))</f>
        <v/>
      </c>
      <c r="F16" s="76">
        <f>IF($B16="","",SUMPRODUCT(COUNTIF($H16:$BQ16,KOD)*KOD_IZIN))</f>
        <v/>
      </c>
      <c r="G16" s="76">
        <f>IF($B16="","",SUM(I16,K16,M16,O16,Q16,S16,U16,W16,Y16,AA16,AC16,AE16,AG16,AI16,AK16,AM16,AO16,AQ16,AS16,AU16,AW16,AY16,BA16,BC16,BE16,BG16,BI16,BK16,BM16,BO16,BQ16))</f>
        <v/>
      </c>
      <c r="H16" s="77" t="n"/>
      <c r="I16" s="78" t="n"/>
      <c r="J16" s="79" t="n"/>
      <c r="K16" s="78" t="n"/>
      <c r="L16" s="79" t="n"/>
      <c r="M16" s="78" t="n"/>
      <c r="N16" s="79" t="n"/>
      <c r="O16" s="78" t="n"/>
      <c r="P16" s="79" t="n"/>
      <c r="Q16" s="78" t="n"/>
      <c r="R16" s="79" t="n"/>
      <c r="S16" s="78" t="n"/>
      <c r="T16" s="79" t="n"/>
      <c r="U16" s="78" t="n"/>
      <c r="V16" s="79" t="n"/>
      <c r="W16" s="78" t="n"/>
      <c r="X16" s="79" t="n"/>
      <c r="Y16" s="78" t="n"/>
      <c r="Z16" s="79" t="n"/>
      <c r="AA16" s="78" t="n"/>
      <c r="AB16" s="79" t="n"/>
      <c r="AC16" s="78" t="n"/>
      <c r="AD16" s="79" t="n"/>
      <c r="AE16" s="78" t="n"/>
      <c r="AF16" s="79" t="n"/>
      <c r="AG16" s="78" t="n"/>
      <c r="AH16" s="79" t="n"/>
      <c r="AI16" s="78" t="n"/>
      <c r="AJ16" s="79" t="n"/>
      <c r="AK16" s="78" t="n"/>
      <c r="AL16" s="79" t="n"/>
      <c r="AM16" s="78" t="n"/>
      <c r="AN16" s="79" t="n"/>
      <c r="AO16" s="78" t="n"/>
      <c r="AP16" s="79" t="n"/>
      <c r="AQ16" s="78" t="n"/>
      <c r="AR16" s="79" t="n"/>
      <c r="AS16" s="78" t="n"/>
      <c r="AT16" s="79" t="n"/>
      <c r="AU16" s="78" t="n"/>
      <c r="AV16" s="79" t="n"/>
      <c r="AW16" s="78" t="n"/>
      <c r="AX16" s="79" t="n"/>
      <c r="AY16" s="78" t="n"/>
      <c r="AZ16" s="79" t="n"/>
      <c r="BA16" s="78" t="n"/>
      <c r="BB16" s="79" t="n"/>
      <c r="BC16" s="78" t="n"/>
      <c r="BD16" s="79" t="n"/>
      <c r="BE16" s="78" t="n"/>
      <c r="BF16" s="79" t="n"/>
      <c r="BG16" s="78" t="n"/>
      <c r="BH16" s="79" t="n"/>
      <c r="BI16" s="78" t="n"/>
      <c r="BJ16" s="79" t="n"/>
      <c r="BK16" s="78" t="n"/>
      <c r="BL16" s="79" t="n"/>
      <c r="BM16" s="78" t="n"/>
      <c r="BN16" s="79" t="n"/>
      <c r="BO16" s="78" t="n"/>
      <c r="BP16" s="79" t="n"/>
      <c r="BQ16" s="78" t="n"/>
    </row>
    <row r="17" ht="24" customHeight="1">
      <c r="A17" s="30">
        <f>IF(Personel_Listesi!$B16="","",Personel_Listesi!$A16)</f>
        <v/>
      </c>
      <c r="B17" s="37">
        <f>IF(Personel_Listesi!$B16="","",UPPER(Personel_Listesi!$B16))</f>
        <v/>
      </c>
      <c r="C17" s="80">
        <f>IF(Personel_Listesi!$B16="","",Personel_Listesi!$C16&amp;"")</f>
        <v/>
      </c>
      <c r="D17" s="75">
        <f>IF($B17="","",SUMPRODUCT(COUNTIF($H17:$BQ17,KOD)*KOD_GUN))</f>
        <v/>
      </c>
      <c r="E17" s="76">
        <f>IF($B17="","",SUMPRODUCT(COUNTIF($H17:$BQ17,KOD)*KOD_DEVAMSIZ))</f>
        <v/>
      </c>
      <c r="F17" s="76">
        <f>IF($B17="","",SUMPRODUCT(COUNTIF($H17:$BQ17,KOD)*KOD_IZIN))</f>
        <v/>
      </c>
      <c r="G17" s="76">
        <f>IF($B17="","",SUM(I17,K17,M17,O17,Q17,S17,U17,W17,Y17,AA17,AC17,AE17,AG17,AI17,AK17,AM17,AO17,AQ17,AS17,AU17,AW17,AY17,BA17,BC17,BE17,BG17,BI17,BK17,BM17,BO17,BQ17))</f>
        <v/>
      </c>
      <c r="H17" s="81" t="n"/>
      <c r="I17" s="82" t="n"/>
      <c r="J17" s="83" t="n"/>
      <c r="K17" s="82" t="n"/>
      <c r="L17" s="83" t="n"/>
      <c r="M17" s="82" t="n"/>
      <c r="N17" s="83" t="n"/>
      <c r="O17" s="82" t="n"/>
      <c r="P17" s="83" t="n"/>
      <c r="Q17" s="82" t="n"/>
      <c r="R17" s="83" t="n"/>
      <c r="S17" s="82" t="n"/>
      <c r="T17" s="83" t="n"/>
      <c r="U17" s="82" t="n"/>
      <c r="V17" s="83" t="n"/>
      <c r="W17" s="82" t="n"/>
      <c r="X17" s="83" t="n"/>
      <c r="Y17" s="82" t="n"/>
      <c r="Z17" s="83" t="n"/>
      <c r="AA17" s="82" t="n"/>
      <c r="AB17" s="83" t="n"/>
      <c r="AC17" s="82" t="n"/>
      <c r="AD17" s="83" t="n"/>
      <c r="AE17" s="82" t="n"/>
      <c r="AF17" s="83" t="n"/>
      <c r="AG17" s="82" t="n"/>
      <c r="AH17" s="83" t="n"/>
      <c r="AI17" s="82" t="n"/>
      <c r="AJ17" s="83" t="n"/>
      <c r="AK17" s="82" t="n"/>
      <c r="AL17" s="83" t="n"/>
      <c r="AM17" s="82" t="n"/>
      <c r="AN17" s="83" t="n"/>
      <c r="AO17" s="82" t="n"/>
      <c r="AP17" s="83" t="n"/>
      <c r="AQ17" s="82" t="n"/>
      <c r="AR17" s="83" t="n"/>
      <c r="AS17" s="82" t="n"/>
      <c r="AT17" s="83" t="n"/>
      <c r="AU17" s="82" t="n"/>
      <c r="AV17" s="83" t="n"/>
      <c r="AW17" s="82" t="n"/>
      <c r="AX17" s="83" t="n"/>
      <c r="AY17" s="82" t="n"/>
      <c r="AZ17" s="83" t="n"/>
      <c r="BA17" s="82" t="n"/>
      <c r="BB17" s="83" t="n"/>
      <c r="BC17" s="82" t="n"/>
      <c r="BD17" s="83" t="n"/>
      <c r="BE17" s="82" t="n"/>
      <c r="BF17" s="83" t="n"/>
      <c r="BG17" s="82" t="n"/>
      <c r="BH17" s="83" t="n"/>
      <c r="BI17" s="82" t="n"/>
      <c r="BJ17" s="83" t="n"/>
      <c r="BK17" s="82" t="n"/>
      <c r="BL17" s="83" t="n"/>
      <c r="BM17" s="82" t="n"/>
      <c r="BN17" s="83" t="n"/>
      <c r="BO17" s="82" t="n"/>
      <c r="BP17" s="83" t="n"/>
      <c r="BQ17" s="82" t="n"/>
    </row>
    <row r="18" ht="24" customHeight="1">
      <c r="A18" s="28">
        <f>IF(Personel_Listesi!$B17="","",Personel_Listesi!$A17)</f>
        <v/>
      </c>
      <c r="B18" s="35">
        <f>IF(Personel_Listesi!$B17="","",UPPER(Personel_Listesi!$B17))</f>
        <v/>
      </c>
      <c r="C18" s="74">
        <f>IF(Personel_Listesi!$B17="","",Personel_Listesi!$C17&amp;"")</f>
        <v/>
      </c>
      <c r="D18" s="75">
        <f>IF($B18="","",SUMPRODUCT(COUNTIF($H18:$BQ18,KOD)*KOD_GUN))</f>
        <v/>
      </c>
      <c r="E18" s="76">
        <f>IF($B18="","",SUMPRODUCT(COUNTIF($H18:$BQ18,KOD)*KOD_DEVAMSIZ))</f>
        <v/>
      </c>
      <c r="F18" s="76">
        <f>IF($B18="","",SUMPRODUCT(COUNTIF($H18:$BQ18,KOD)*KOD_IZIN))</f>
        <v/>
      </c>
      <c r="G18" s="76">
        <f>IF($B18="","",SUM(I18,K18,M18,O18,Q18,S18,U18,W18,Y18,AA18,AC18,AE18,AG18,AI18,AK18,AM18,AO18,AQ18,AS18,AU18,AW18,AY18,BA18,BC18,BE18,BG18,BI18,BK18,BM18,BO18,BQ18))</f>
        <v/>
      </c>
      <c r="H18" s="77" t="n"/>
      <c r="I18" s="78" t="n"/>
      <c r="J18" s="79" t="n"/>
      <c r="K18" s="78" t="n"/>
      <c r="L18" s="79" t="n"/>
      <c r="M18" s="78" t="n"/>
      <c r="N18" s="79" t="n"/>
      <c r="O18" s="78" t="n"/>
      <c r="P18" s="79" t="n"/>
      <c r="Q18" s="78" t="n"/>
      <c r="R18" s="79" t="n"/>
      <c r="S18" s="78" t="n"/>
      <c r="T18" s="79" t="n"/>
      <c r="U18" s="78" t="n"/>
      <c r="V18" s="79" t="n"/>
      <c r="W18" s="78" t="n"/>
      <c r="X18" s="79" t="n"/>
      <c r="Y18" s="78" t="n"/>
      <c r="Z18" s="79" t="n"/>
      <c r="AA18" s="78" t="n"/>
      <c r="AB18" s="79" t="n"/>
      <c r="AC18" s="78" t="n"/>
      <c r="AD18" s="79" t="n"/>
      <c r="AE18" s="78" t="n"/>
      <c r="AF18" s="79" t="n"/>
      <c r="AG18" s="78" t="n"/>
      <c r="AH18" s="79" t="n"/>
      <c r="AI18" s="78" t="n"/>
      <c r="AJ18" s="79" t="n"/>
      <c r="AK18" s="78" t="n"/>
      <c r="AL18" s="79" t="n"/>
      <c r="AM18" s="78" t="n"/>
      <c r="AN18" s="79" t="n"/>
      <c r="AO18" s="78" t="n"/>
      <c r="AP18" s="79" t="n"/>
      <c r="AQ18" s="78" t="n"/>
      <c r="AR18" s="79" t="n"/>
      <c r="AS18" s="78" t="n"/>
      <c r="AT18" s="79" t="n"/>
      <c r="AU18" s="78" t="n"/>
      <c r="AV18" s="79" t="n"/>
      <c r="AW18" s="78" t="n"/>
      <c r="AX18" s="79" t="n"/>
      <c r="AY18" s="78" t="n"/>
      <c r="AZ18" s="79" t="n"/>
      <c r="BA18" s="78" t="n"/>
      <c r="BB18" s="79" t="n"/>
      <c r="BC18" s="78" t="n"/>
      <c r="BD18" s="79" t="n"/>
      <c r="BE18" s="78" t="n"/>
      <c r="BF18" s="79" t="n"/>
      <c r="BG18" s="78" t="n"/>
      <c r="BH18" s="79" t="n"/>
      <c r="BI18" s="78" t="n"/>
      <c r="BJ18" s="79" t="n"/>
      <c r="BK18" s="78" t="n"/>
      <c r="BL18" s="79" t="n"/>
      <c r="BM18" s="78" t="n"/>
      <c r="BN18" s="79" t="n"/>
      <c r="BO18" s="78" t="n"/>
      <c r="BP18" s="79" t="n"/>
      <c r="BQ18" s="78" t="n"/>
    </row>
    <row r="19" ht="24" customHeight="1">
      <c r="A19" s="30">
        <f>IF(Personel_Listesi!$B18="","",Personel_Listesi!$A18)</f>
        <v/>
      </c>
      <c r="B19" s="37">
        <f>IF(Personel_Listesi!$B18="","",UPPER(Personel_Listesi!$B18))</f>
        <v/>
      </c>
      <c r="C19" s="80">
        <f>IF(Personel_Listesi!$B18="","",Personel_Listesi!$C18&amp;"")</f>
        <v/>
      </c>
      <c r="D19" s="75">
        <f>IF($B19="","",SUMPRODUCT(COUNTIF($H19:$BQ19,KOD)*KOD_GUN))</f>
        <v/>
      </c>
      <c r="E19" s="76">
        <f>IF($B19="","",SUMPRODUCT(COUNTIF($H19:$BQ19,KOD)*KOD_DEVAMSIZ))</f>
        <v/>
      </c>
      <c r="F19" s="76">
        <f>IF($B19="","",SUMPRODUCT(COUNTIF($H19:$BQ19,KOD)*KOD_IZIN))</f>
        <v/>
      </c>
      <c r="G19" s="76">
        <f>IF($B19="","",SUM(I19,K19,M19,O19,Q19,S19,U19,W19,Y19,AA19,AC19,AE19,AG19,AI19,AK19,AM19,AO19,AQ19,AS19,AU19,AW19,AY19,BA19,BC19,BE19,BG19,BI19,BK19,BM19,BO19,BQ19))</f>
        <v/>
      </c>
      <c r="H19" s="81" t="n"/>
      <c r="I19" s="82" t="n"/>
      <c r="J19" s="83" t="n"/>
      <c r="K19" s="82" t="n"/>
      <c r="L19" s="83" t="n"/>
      <c r="M19" s="82" t="n"/>
      <c r="N19" s="83" t="n"/>
      <c r="O19" s="82" t="n"/>
      <c r="P19" s="83" t="n"/>
      <c r="Q19" s="82" t="n"/>
      <c r="R19" s="83" t="n"/>
      <c r="S19" s="82" t="n"/>
      <c r="T19" s="83" t="n"/>
      <c r="U19" s="82" t="n"/>
      <c r="V19" s="83" t="n"/>
      <c r="W19" s="82" t="n"/>
      <c r="X19" s="83" t="n"/>
      <c r="Y19" s="82" t="n"/>
      <c r="Z19" s="83" t="n"/>
      <c r="AA19" s="82" t="n"/>
      <c r="AB19" s="83" t="n"/>
      <c r="AC19" s="82" t="n"/>
      <c r="AD19" s="83" t="n"/>
      <c r="AE19" s="82" t="n"/>
      <c r="AF19" s="83" t="n"/>
      <c r="AG19" s="82" t="n"/>
      <c r="AH19" s="83" t="n"/>
      <c r="AI19" s="82" t="n"/>
      <c r="AJ19" s="83" t="n"/>
      <c r="AK19" s="82" t="n"/>
      <c r="AL19" s="83" t="n"/>
      <c r="AM19" s="82" t="n"/>
      <c r="AN19" s="83" t="n"/>
      <c r="AO19" s="82" t="n"/>
      <c r="AP19" s="83" t="n"/>
      <c r="AQ19" s="82" t="n"/>
      <c r="AR19" s="83" t="n"/>
      <c r="AS19" s="82" t="n"/>
      <c r="AT19" s="83" t="n"/>
      <c r="AU19" s="82" t="n"/>
      <c r="AV19" s="83" t="n"/>
      <c r="AW19" s="82" t="n"/>
      <c r="AX19" s="83" t="n"/>
      <c r="AY19" s="82" t="n"/>
      <c r="AZ19" s="83" t="n"/>
      <c r="BA19" s="82" t="n"/>
      <c r="BB19" s="83" t="n"/>
      <c r="BC19" s="82" t="n"/>
      <c r="BD19" s="83" t="n"/>
      <c r="BE19" s="82" t="n"/>
      <c r="BF19" s="83" t="n"/>
      <c r="BG19" s="82" t="n"/>
      <c r="BH19" s="83" t="n"/>
      <c r="BI19" s="82" t="n"/>
      <c r="BJ19" s="83" t="n"/>
      <c r="BK19" s="82" t="n"/>
      <c r="BL19" s="83" t="n"/>
      <c r="BM19" s="82" t="n"/>
      <c r="BN19" s="83" t="n"/>
      <c r="BO19" s="82" t="n"/>
      <c r="BP19" s="83" t="n"/>
      <c r="BQ19" s="82" t="n"/>
    </row>
    <row r="20" ht="24" customHeight="1">
      <c r="A20" s="28">
        <f>IF(Personel_Listesi!$B19="","",Personel_Listesi!$A19)</f>
        <v/>
      </c>
      <c r="B20" s="35">
        <f>IF(Personel_Listesi!$B19="","",UPPER(Personel_Listesi!$B19))</f>
        <v/>
      </c>
      <c r="C20" s="74">
        <f>IF(Personel_Listesi!$B19="","",Personel_Listesi!$C19&amp;"")</f>
        <v/>
      </c>
      <c r="D20" s="75">
        <f>IF($B20="","",SUMPRODUCT(COUNTIF($H20:$BQ20,KOD)*KOD_GUN))</f>
        <v/>
      </c>
      <c r="E20" s="76">
        <f>IF($B20="","",SUMPRODUCT(COUNTIF($H20:$BQ20,KOD)*KOD_DEVAMSIZ))</f>
        <v/>
      </c>
      <c r="F20" s="76">
        <f>IF($B20="","",SUMPRODUCT(COUNTIF($H20:$BQ20,KOD)*KOD_IZIN))</f>
        <v/>
      </c>
      <c r="G20" s="76">
        <f>IF($B20="","",SUM(I20,K20,M20,O20,Q20,S20,U20,W20,Y20,AA20,AC20,AE20,AG20,AI20,AK20,AM20,AO20,AQ20,AS20,AU20,AW20,AY20,BA20,BC20,BE20,BG20,BI20,BK20,BM20,BO20,BQ20))</f>
        <v/>
      </c>
      <c r="H20" s="77" t="n"/>
      <c r="I20" s="78" t="n"/>
      <c r="J20" s="79" t="n"/>
      <c r="K20" s="78" t="n"/>
      <c r="L20" s="79" t="n"/>
      <c r="M20" s="78" t="n"/>
      <c r="N20" s="79" t="n"/>
      <c r="O20" s="78" t="n"/>
      <c r="P20" s="79" t="n"/>
      <c r="Q20" s="78" t="n"/>
      <c r="R20" s="79" t="n"/>
      <c r="S20" s="78" t="n"/>
      <c r="T20" s="79" t="n"/>
      <c r="U20" s="78" t="n"/>
      <c r="V20" s="79" t="n"/>
      <c r="W20" s="78" t="n"/>
      <c r="X20" s="79" t="n"/>
      <c r="Y20" s="78" t="n"/>
      <c r="Z20" s="79" t="n"/>
      <c r="AA20" s="78" t="n"/>
      <c r="AB20" s="79" t="n"/>
      <c r="AC20" s="78" t="n"/>
      <c r="AD20" s="79" t="n"/>
      <c r="AE20" s="78" t="n"/>
      <c r="AF20" s="79" t="n"/>
      <c r="AG20" s="78" t="n"/>
      <c r="AH20" s="79" t="n"/>
      <c r="AI20" s="78" t="n"/>
      <c r="AJ20" s="79" t="n"/>
      <c r="AK20" s="78" t="n"/>
      <c r="AL20" s="79" t="n"/>
      <c r="AM20" s="78" t="n"/>
      <c r="AN20" s="79" t="n"/>
      <c r="AO20" s="78" t="n"/>
      <c r="AP20" s="79" t="n"/>
      <c r="AQ20" s="78" t="n"/>
      <c r="AR20" s="79" t="n"/>
      <c r="AS20" s="78" t="n"/>
      <c r="AT20" s="79" t="n"/>
      <c r="AU20" s="78" t="n"/>
      <c r="AV20" s="79" t="n"/>
      <c r="AW20" s="78" t="n"/>
      <c r="AX20" s="79" t="n"/>
      <c r="AY20" s="78" t="n"/>
      <c r="AZ20" s="79" t="n"/>
      <c r="BA20" s="78" t="n"/>
      <c r="BB20" s="79" t="n"/>
      <c r="BC20" s="78" t="n"/>
      <c r="BD20" s="79" t="n"/>
      <c r="BE20" s="78" t="n"/>
      <c r="BF20" s="79" t="n"/>
      <c r="BG20" s="78" t="n"/>
      <c r="BH20" s="79" t="n"/>
      <c r="BI20" s="78" t="n"/>
      <c r="BJ20" s="79" t="n"/>
      <c r="BK20" s="78" t="n"/>
      <c r="BL20" s="79" t="n"/>
      <c r="BM20" s="78" t="n"/>
      <c r="BN20" s="79" t="n"/>
      <c r="BO20" s="78" t="n"/>
      <c r="BP20" s="79" t="n"/>
      <c r="BQ20" s="78" t="n"/>
    </row>
    <row r="21" ht="24" customHeight="1">
      <c r="A21" s="30">
        <f>IF(Personel_Listesi!$B20="","",Personel_Listesi!$A20)</f>
        <v/>
      </c>
      <c r="B21" s="37">
        <f>IF(Personel_Listesi!$B20="","",UPPER(Personel_Listesi!$B20))</f>
        <v/>
      </c>
      <c r="C21" s="80">
        <f>IF(Personel_Listesi!$B20="","",Personel_Listesi!$C20&amp;"")</f>
        <v/>
      </c>
      <c r="D21" s="75">
        <f>IF($B21="","",SUMPRODUCT(COUNTIF($H21:$BQ21,KOD)*KOD_GUN))</f>
        <v/>
      </c>
      <c r="E21" s="76">
        <f>IF($B21="","",SUMPRODUCT(COUNTIF($H21:$BQ21,KOD)*KOD_DEVAMSIZ))</f>
        <v/>
      </c>
      <c r="F21" s="76">
        <f>IF($B21="","",SUMPRODUCT(COUNTIF($H21:$BQ21,KOD)*KOD_IZIN))</f>
        <v/>
      </c>
      <c r="G21" s="76">
        <f>IF($B21="","",SUM(I21,K21,M21,O21,Q21,S21,U21,W21,Y21,AA21,AC21,AE21,AG21,AI21,AK21,AM21,AO21,AQ21,AS21,AU21,AW21,AY21,BA21,BC21,BE21,BG21,BI21,BK21,BM21,BO21,BQ21))</f>
        <v/>
      </c>
      <c r="H21" s="81" t="n"/>
      <c r="I21" s="82" t="n"/>
      <c r="J21" s="83" t="n"/>
      <c r="K21" s="82" t="n"/>
      <c r="L21" s="83" t="n"/>
      <c r="M21" s="82" t="n"/>
      <c r="N21" s="83" t="n"/>
      <c r="O21" s="82" t="n"/>
      <c r="P21" s="83" t="n"/>
      <c r="Q21" s="82" t="n"/>
      <c r="R21" s="83" t="n"/>
      <c r="S21" s="82" t="n"/>
      <c r="T21" s="83" t="n"/>
      <c r="U21" s="82" t="n"/>
      <c r="V21" s="83" t="n"/>
      <c r="W21" s="82" t="n"/>
      <c r="X21" s="83" t="n"/>
      <c r="Y21" s="82" t="n"/>
      <c r="Z21" s="83" t="n"/>
      <c r="AA21" s="82" t="n"/>
      <c r="AB21" s="83" t="n"/>
      <c r="AC21" s="82" t="n"/>
      <c r="AD21" s="83" t="n"/>
      <c r="AE21" s="82" t="n"/>
      <c r="AF21" s="83" t="n"/>
      <c r="AG21" s="82" t="n"/>
      <c r="AH21" s="83" t="n"/>
      <c r="AI21" s="82" t="n"/>
      <c r="AJ21" s="83" t="n"/>
      <c r="AK21" s="82" t="n"/>
      <c r="AL21" s="83" t="n"/>
      <c r="AM21" s="82" t="n"/>
      <c r="AN21" s="83" t="n"/>
      <c r="AO21" s="82" t="n"/>
      <c r="AP21" s="83" t="n"/>
      <c r="AQ21" s="82" t="n"/>
      <c r="AR21" s="83" t="n"/>
      <c r="AS21" s="82" t="n"/>
      <c r="AT21" s="83" t="n"/>
      <c r="AU21" s="82" t="n"/>
      <c r="AV21" s="83" t="n"/>
      <c r="AW21" s="82" t="n"/>
      <c r="AX21" s="83" t="n"/>
      <c r="AY21" s="82" t="n"/>
      <c r="AZ21" s="83" t="n"/>
      <c r="BA21" s="82" t="n"/>
      <c r="BB21" s="83" t="n"/>
      <c r="BC21" s="82" t="n"/>
      <c r="BD21" s="83" t="n"/>
      <c r="BE21" s="82" t="n"/>
      <c r="BF21" s="83" t="n"/>
      <c r="BG21" s="82" t="n"/>
      <c r="BH21" s="83" t="n"/>
      <c r="BI21" s="82" t="n"/>
      <c r="BJ21" s="83" t="n"/>
      <c r="BK21" s="82" t="n"/>
      <c r="BL21" s="83" t="n"/>
      <c r="BM21" s="82" t="n"/>
      <c r="BN21" s="83" t="n"/>
      <c r="BO21" s="82" t="n"/>
      <c r="BP21" s="83" t="n"/>
      <c r="BQ21" s="82" t="n"/>
    </row>
    <row r="22" ht="24" customHeight="1">
      <c r="A22" s="28">
        <f>IF(Personel_Listesi!$B21="","",Personel_Listesi!$A21)</f>
        <v/>
      </c>
      <c r="B22" s="35">
        <f>IF(Personel_Listesi!$B21="","",UPPER(Personel_Listesi!$B21))</f>
        <v/>
      </c>
      <c r="C22" s="74">
        <f>IF(Personel_Listesi!$B21="","",Personel_Listesi!$C21&amp;"")</f>
        <v/>
      </c>
      <c r="D22" s="75">
        <f>IF($B22="","",SUMPRODUCT(COUNTIF($H22:$BQ22,KOD)*KOD_GUN))</f>
        <v/>
      </c>
      <c r="E22" s="76">
        <f>IF($B22="","",SUMPRODUCT(COUNTIF($H22:$BQ22,KOD)*KOD_DEVAMSIZ))</f>
        <v/>
      </c>
      <c r="F22" s="76">
        <f>IF($B22="","",SUMPRODUCT(COUNTIF($H22:$BQ22,KOD)*KOD_IZIN))</f>
        <v/>
      </c>
      <c r="G22" s="76">
        <f>IF($B22="","",SUM(I22,K22,M22,O22,Q22,S22,U22,W22,Y22,AA22,AC22,AE22,AG22,AI22,AK22,AM22,AO22,AQ22,AS22,AU22,AW22,AY22,BA22,BC22,BE22,BG22,BI22,BK22,BM22,BO22,BQ22))</f>
        <v/>
      </c>
      <c r="H22" s="77" t="n"/>
      <c r="I22" s="78" t="n"/>
      <c r="J22" s="79" t="n"/>
      <c r="K22" s="78" t="n"/>
      <c r="L22" s="79" t="n"/>
      <c r="M22" s="78" t="n"/>
      <c r="N22" s="79" t="n"/>
      <c r="O22" s="78" t="n"/>
      <c r="P22" s="79" t="n"/>
      <c r="Q22" s="78" t="n"/>
      <c r="R22" s="79" t="n"/>
      <c r="S22" s="78" t="n"/>
      <c r="T22" s="79" t="n"/>
      <c r="U22" s="78" t="n"/>
      <c r="V22" s="79" t="n"/>
      <c r="W22" s="78" t="n"/>
      <c r="X22" s="79" t="n"/>
      <c r="Y22" s="78" t="n"/>
      <c r="Z22" s="79" t="n"/>
      <c r="AA22" s="78" t="n"/>
      <c r="AB22" s="79" t="n"/>
      <c r="AC22" s="78" t="n"/>
      <c r="AD22" s="79" t="n"/>
      <c r="AE22" s="78" t="n"/>
      <c r="AF22" s="79" t="n"/>
      <c r="AG22" s="78" t="n"/>
      <c r="AH22" s="79" t="n"/>
      <c r="AI22" s="78" t="n"/>
      <c r="AJ22" s="79" t="n"/>
      <c r="AK22" s="78" t="n"/>
      <c r="AL22" s="79" t="n"/>
      <c r="AM22" s="78" t="n"/>
      <c r="AN22" s="79" t="n"/>
      <c r="AO22" s="78" t="n"/>
      <c r="AP22" s="79" t="n"/>
      <c r="AQ22" s="78" t="n"/>
      <c r="AR22" s="79" t="n"/>
      <c r="AS22" s="78" t="n"/>
      <c r="AT22" s="79" t="n"/>
      <c r="AU22" s="78" t="n"/>
      <c r="AV22" s="79" t="n"/>
      <c r="AW22" s="78" t="n"/>
      <c r="AX22" s="79" t="n"/>
      <c r="AY22" s="78" t="n"/>
      <c r="AZ22" s="79" t="n"/>
      <c r="BA22" s="78" t="n"/>
      <c r="BB22" s="79" t="n"/>
      <c r="BC22" s="78" t="n"/>
      <c r="BD22" s="79" t="n"/>
      <c r="BE22" s="78" t="n"/>
      <c r="BF22" s="79" t="n"/>
      <c r="BG22" s="78" t="n"/>
      <c r="BH22" s="79" t="n"/>
      <c r="BI22" s="78" t="n"/>
      <c r="BJ22" s="79" t="n"/>
      <c r="BK22" s="78" t="n"/>
      <c r="BL22" s="79" t="n"/>
      <c r="BM22" s="78" t="n"/>
      <c r="BN22" s="79" t="n"/>
      <c r="BO22" s="78" t="n"/>
      <c r="BP22" s="79" t="n"/>
      <c r="BQ22" s="78" t="n"/>
    </row>
    <row r="23" ht="24" customHeight="1">
      <c r="A23" s="30">
        <f>IF(Personel_Listesi!$B22="","",Personel_Listesi!$A22)</f>
        <v/>
      </c>
      <c r="B23" s="37">
        <f>IF(Personel_Listesi!$B22="","",UPPER(Personel_Listesi!$B22))</f>
        <v/>
      </c>
      <c r="C23" s="80">
        <f>IF(Personel_Listesi!$B22="","",Personel_Listesi!$C22&amp;"")</f>
        <v/>
      </c>
      <c r="D23" s="75">
        <f>IF($B23="","",SUMPRODUCT(COUNTIF($H23:$BQ23,KOD)*KOD_GUN))</f>
        <v/>
      </c>
      <c r="E23" s="76">
        <f>IF($B23="","",SUMPRODUCT(COUNTIF($H23:$BQ23,KOD)*KOD_DEVAMSIZ))</f>
        <v/>
      </c>
      <c r="F23" s="76">
        <f>IF($B23="","",SUMPRODUCT(COUNTIF($H23:$BQ23,KOD)*KOD_IZIN))</f>
        <v/>
      </c>
      <c r="G23" s="76">
        <f>IF($B23="","",SUM(I23,K23,M23,O23,Q23,S23,U23,W23,Y23,AA23,AC23,AE23,AG23,AI23,AK23,AM23,AO23,AQ23,AS23,AU23,AW23,AY23,BA23,BC23,BE23,BG23,BI23,BK23,BM23,BO23,BQ23))</f>
        <v/>
      </c>
      <c r="H23" s="81" t="n"/>
      <c r="I23" s="82" t="n"/>
      <c r="J23" s="83" t="n"/>
      <c r="K23" s="82" t="n"/>
      <c r="L23" s="83" t="n"/>
      <c r="M23" s="82" t="n"/>
      <c r="N23" s="83" t="n"/>
      <c r="O23" s="82" t="n"/>
      <c r="P23" s="83" t="n"/>
      <c r="Q23" s="82" t="n"/>
      <c r="R23" s="83" t="n"/>
      <c r="S23" s="82" t="n"/>
      <c r="T23" s="83" t="n"/>
      <c r="U23" s="82" t="n"/>
      <c r="V23" s="83" t="n"/>
      <c r="W23" s="82" t="n"/>
      <c r="X23" s="83" t="n"/>
      <c r="Y23" s="82" t="n"/>
      <c r="Z23" s="83" t="n"/>
      <c r="AA23" s="82" t="n"/>
      <c r="AB23" s="83" t="n"/>
      <c r="AC23" s="82" t="n"/>
      <c r="AD23" s="83" t="n"/>
      <c r="AE23" s="82" t="n"/>
      <c r="AF23" s="83" t="n"/>
      <c r="AG23" s="82" t="n"/>
      <c r="AH23" s="83" t="n"/>
      <c r="AI23" s="82" t="n"/>
      <c r="AJ23" s="83" t="n"/>
      <c r="AK23" s="82" t="n"/>
      <c r="AL23" s="83" t="n"/>
      <c r="AM23" s="82" t="n"/>
      <c r="AN23" s="83" t="n"/>
      <c r="AO23" s="82" t="n"/>
      <c r="AP23" s="83" t="n"/>
      <c r="AQ23" s="82" t="n"/>
      <c r="AR23" s="83" t="n"/>
      <c r="AS23" s="82" t="n"/>
      <c r="AT23" s="83" t="n"/>
      <c r="AU23" s="82" t="n"/>
      <c r="AV23" s="83" t="n"/>
      <c r="AW23" s="82" t="n"/>
      <c r="AX23" s="83" t="n"/>
      <c r="AY23" s="82" t="n"/>
      <c r="AZ23" s="83" t="n"/>
      <c r="BA23" s="82" t="n"/>
      <c r="BB23" s="83" t="n"/>
      <c r="BC23" s="82" t="n"/>
      <c r="BD23" s="83" t="n"/>
      <c r="BE23" s="82" t="n"/>
      <c r="BF23" s="83" t="n"/>
      <c r="BG23" s="82" t="n"/>
      <c r="BH23" s="83" t="n"/>
      <c r="BI23" s="82" t="n"/>
      <c r="BJ23" s="83" t="n"/>
      <c r="BK23" s="82" t="n"/>
      <c r="BL23" s="83" t="n"/>
      <c r="BM23" s="82" t="n"/>
      <c r="BN23" s="83" t="n"/>
      <c r="BO23" s="82" t="n"/>
      <c r="BP23" s="83" t="n"/>
      <c r="BQ23" s="82" t="n"/>
    </row>
    <row r="24" ht="24" customHeight="1">
      <c r="A24" s="28">
        <f>IF(Personel_Listesi!$B23="","",Personel_Listesi!$A23)</f>
        <v/>
      </c>
      <c r="B24" s="35">
        <f>IF(Personel_Listesi!$B23="","",UPPER(Personel_Listesi!$B23))</f>
        <v/>
      </c>
      <c r="C24" s="74">
        <f>IF(Personel_Listesi!$B23="","",Personel_Listesi!$C23&amp;"")</f>
        <v/>
      </c>
      <c r="D24" s="75">
        <f>IF($B24="","",SUMPRODUCT(COUNTIF($H24:$BQ24,KOD)*KOD_GUN))</f>
        <v/>
      </c>
      <c r="E24" s="76">
        <f>IF($B24="","",SUMPRODUCT(COUNTIF($H24:$BQ24,KOD)*KOD_DEVAMSIZ))</f>
        <v/>
      </c>
      <c r="F24" s="76">
        <f>IF($B24="","",SUMPRODUCT(COUNTIF($H24:$BQ24,KOD)*KOD_IZIN))</f>
        <v/>
      </c>
      <c r="G24" s="76">
        <f>IF($B24="","",SUM(I24,K24,M24,O24,Q24,S24,U24,W24,Y24,AA24,AC24,AE24,AG24,AI24,AK24,AM24,AO24,AQ24,AS24,AU24,AW24,AY24,BA24,BC24,BE24,BG24,BI24,BK24,BM24,BO24,BQ24))</f>
        <v/>
      </c>
      <c r="H24" s="77" t="n"/>
      <c r="I24" s="78" t="n"/>
      <c r="J24" s="79" t="n"/>
      <c r="K24" s="78" t="n"/>
      <c r="L24" s="79" t="n"/>
      <c r="M24" s="78" t="n"/>
      <c r="N24" s="79" t="n"/>
      <c r="O24" s="78" t="n"/>
      <c r="P24" s="79" t="n"/>
      <c r="Q24" s="78" t="n"/>
      <c r="R24" s="79" t="n"/>
      <c r="S24" s="78" t="n"/>
      <c r="T24" s="79" t="n"/>
      <c r="U24" s="78" t="n"/>
      <c r="V24" s="79" t="n"/>
      <c r="W24" s="78" t="n"/>
      <c r="X24" s="79" t="n"/>
      <c r="Y24" s="78" t="n"/>
      <c r="Z24" s="79" t="n"/>
      <c r="AA24" s="78" t="n"/>
      <c r="AB24" s="79" t="n"/>
      <c r="AC24" s="78" t="n"/>
      <c r="AD24" s="79" t="n"/>
      <c r="AE24" s="78" t="n"/>
      <c r="AF24" s="79" t="n"/>
      <c r="AG24" s="78" t="n"/>
      <c r="AH24" s="79" t="n"/>
      <c r="AI24" s="78" t="n"/>
      <c r="AJ24" s="79" t="n"/>
      <c r="AK24" s="78" t="n"/>
      <c r="AL24" s="79" t="n"/>
      <c r="AM24" s="78" t="n"/>
      <c r="AN24" s="79" t="n"/>
      <c r="AO24" s="78" t="n"/>
      <c r="AP24" s="79" t="n"/>
      <c r="AQ24" s="78" t="n"/>
      <c r="AR24" s="79" t="n"/>
      <c r="AS24" s="78" t="n"/>
      <c r="AT24" s="79" t="n"/>
      <c r="AU24" s="78" t="n"/>
      <c r="AV24" s="79" t="n"/>
      <c r="AW24" s="78" t="n"/>
      <c r="AX24" s="79" t="n"/>
      <c r="AY24" s="78" t="n"/>
      <c r="AZ24" s="79" t="n"/>
      <c r="BA24" s="78" t="n"/>
      <c r="BB24" s="79" t="n"/>
      <c r="BC24" s="78" t="n"/>
      <c r="BD24" s="79" t="n"/>
      <c r="BE24" s="78" t="n"/>
      <c r="BF24" s="79" t="n"/>
      <c r="BG24" s="78" t="n"/>
      <c r="BH24" s="79" t="n"/>
      <c r="BI24" s="78" t="n"/>
      <c r="BJ24" s="79" t="n"/>
      <c r="BK24" s="78" t="n"/>
      <c r="BL24" s="79" t="n"/>
      <c r="BM24" s="78" t="n"/>
      <c r="BN24" s="79" t="n"/>
      <c r="BO24" s="78" t="n"/>
      <c r="BP24" s="79" t="n"/>
      <c r="BQ24" s="78" t="n"/>
    </row>
    <row r="25" ht="24" customHeight="1">
      <c r="A25" s="30">
        <f>IF(Personel_Listesi!$B24="","",Personel_Listesi!$A24)</f>
        <v/>
      </c>
      <c r="B25" s="37">
        <f>IF(Personel_Listesi!$B24="","",UPPER(Personel_Listesi!$B24))</f>
        <v/>
      </c>
      <c r="C25" s="80">
        <f>IF(Personel_Listesi!$B24="","",Personel_Listesi!$C24&amp;"")</f>
        <v/>
      </c>
      <c r="D25" s="75">
        <f>IF($B25="","",SUMPRODUCT(COUNTIF($H25:$BQ25,KOD)*KOD_GUN))</f>
        <v/>
      </c>
      <c r="E25" s="76">
        <f>IF($B25="","",SUMPRODUCT(COUNTIF($H25:$BQ25,KOD)*KOD_DEVAMSIZ))</f>
        <v/>
      </c>
      <c r="F25" s="76">
        <f>IF($B25="","",SUMPRODUCT(COUNTIF($H25:$BQ25,KOD)*KOD_IZIN))</f>
        <v/>
      </c>
      <c r="G25" s="76">
        <f>IF($B25="","",SUM(I25,K25,M25,O25,Q25,S25,U25,W25,Y25,AA25,AC25,AE25,AG25,AI25,AK25,AM25,AO25,AQ25,AS25,AU25,AW25,AY25,BA25,BC25,BE25,BG25,BI25,BK25,BM25,BO25,BQ25))</f>
        <v/>
      </c>
      <c r="H25" s="81" t="n"/>
      <c r="I25" s="82" t="n"/>
      <c r="J25" s="83" t="n"/>
      <c r="K25" s="82" t="n"/>
      <c r="L25" s="83" t="n"/>
      <c r="M25" s="82" t="n"/>
      <c r="N25" s="83" t="n"/>
      <c r="O25" s="82" t="n"/>
      <c r="P25" s="83" t="n"/>
      <c r="Q25" s="82" t="n"/>
      <c r="R25" s="83" t="n"/>
      <c r="S25" s="82" t="n"/>
      <c r="T25" s="83" t="n"/>
      <c r="U25" s="82" t="n"/>
      <c r="V25" s="83" t="n"/>
      <c r="W25" s="82" t="n"/>
      <c r="X25" s="83" t="n"/>
      <c r="Y25" s="82" t="n"/>
      <c r="Z25" s="83" t="n"/>
      <c r="AA25" s="82" t="n"/>
      <c r="AB25" s="83" t="n"/>
      <c r="AC25" s="82" t="n"/>
      <c r="AD25" s="83" t="n"/>
      <c r="AE25" s="82" t="n"/>
      <c r="AF25" s="83" t="n"/>
      <c r="AG25" s="82" t="n"/>
      <c r="AH25" s="83" t="n"/>
      <c r="AI25" s="82" t="n"/>
      <c r="AJ25" s="83" t="n"/>
      <c r="AK25" s="82" t="n"/>
      <c r="AL25" s="83" t="n"/>
      <c r="AM25" s="82" t="n"/>
      <c r="AN25" s="83" t="n"/>
      <c r="AO25" s="82" t="n"/>
      <c r="AP25" s="83" t="n"/>
      <c r="AQ25" s="82" t="n"/>
      <c r="AR25" s="83" t="n"/>
      <c r="AS25" s="82" t="n"/>
      <c r="AT25" s="83" t="n"/>
      <c r="AU25" s="82" t="n"/>
      <c r="AV25" s="83" t="n"/>
      <c r="AW25" s="82" t="n"/>
      <c r="AX25" s="83" t="n"/>
      <c r="AY25" s="82" t="n"/>
      <c r="AZ25" s="83" t="n"/>
      <c r="BA25" s="82" t="n"/>
      <c r="BB25" s="83" t="n"/>
      <c r="BC25" s="82" t="n"/>
      <c r="BD25" s="83" t="n"/>
      <c r="BE25" s="82" t="n"/>
      <c r="BF25" s="83" t="n"/>
      <c r="BG25" s="82" t="n"/>
      <c r="BH25" s="83" t="n"/>
      <c r="BI25" s="82" t="n"/>
      <c r="BJ25" s="83" t="n"/>
      <c r="BK25" s="82" t="n"/>
      <c r="BL25" s="83" t="n"/>
      <c r="BM25" s="82" t="n"/>
      <c r="BN25" s="83" t="n"/>
      <c r="BO25" s="82" t="n"/>
      <c r="BP25" s="83" t="n"/>
      <c r="BQ25" s="82" t="n"/>
    </row>
    <row r="26" ht="24" customHeight="1">
      <c r="A26" s="28">
        <f>IF(Personel_Listesi!$B25="","",Personel_Listesi!$A25)</f>
        <v/>
      </c>
      <c r="B26" s="35">
        <f>IF(Personel_Listesi!$B25="","",UPPER(Personel_Listesi!$B25))</f>
        <v/>
      </c>
      <c r="C26" s="74">
        <f>IF(Personel_Listesi!$B25="","",Personel_Listesi!$C25&amp;"")</f>
        <v/>
      </c>
      <c r="D26" s="75">
        <f>IF($B26="","",SUMPRODUCT(COUNTIF($H26:$BQ26,KOD)*KOD_GUN))</f>
        <v/>
      </c>
      <c r="E26" s="76">
        <f>IF($B26="","",SUMPRODUCT(COUNTIF($H26:$BQ26,KOD)*KOD_DEVAMSIZ))</f>
        <v/>
      </c>
      <c r="F26" s="76">
        <f>IF($B26="","",SUMPRODUCT(COUNTIF($H26:$BQ26,KOD)*KOD_IZIN))</f>
        <v/>
      </c>
      <c r="G26" s="76">
        <f>IF($B26="","",SUM(I26,K26,M26,O26,Q26,S26,U26,W26,Y26,AA26,AC26,AE26,AG26,AI26,AK26,AM26,AO26,AQ26,AS26,AU26,AW26,AY26,BA26,BC26,BE26,BG26,BI26,BK26,BM26,BO26,BQ26))</f>
        <v/>
      </c>
      <c r="H26" s="77" t="n"/>
      <c r="I26" s="78" t="n"/>
      <c r="J26" s="79" t="n"/>
      <c r="K26" s="78" t="n"/>
      <c r="L26" s="79" t="n"/>
      <c r="M26" s="78" t="n"/>
      <c r="N26" s="79" t="n"/>
      <c r="O26" s="78" t="n"/>
      <c r="P26" s="79" t="n"/>
      <c r="Q26" s="78" t="n"/>
      <c r="R26" s="79" t="n"/>
      <c r="S26" s="78" t="n"/>
      <c r="T26" s="79" t="n"/>
      <c r="U26" s="78" t="n"/>
      <c r="V26" s="79" t="n"/>
      <c r="W26" s="78" t="n"/>
      <c r="X26" s="79" t="n"/>
      <c r="Y26" s="78" t="n"/>
      <c r="Z26" s="79" t="n"/>
      <c r="AA26" s="78" t="n"/>
      <c r="AB26" s="79" t="n"/>
      <c r="AC26" s="78" t="n"/>
      <c r="AD26" s="79" t="n"/>
      <c r="AE26" s="78" t="n"/>
      <c r="AF26" s="79" t="n"/>
      <c r="AG26" s="78" t="n"/>
      <c r="AH26" s="79" t="n"/>
      <c r="AI26" s="78" t="n"/>
      <c r="AJ26" s="79" t="n"/>
      <c r="AK26" s="78" t="n"/>
      <c r="AL26" s="79" t="n"/>
      <c r="AM26" s="78" t="n"/>
      <c r="AN26" s="79" t="n"/>
      <c r="AO26" s="78" t="n"/>
      <c r="AP26" s="79" t="n"/>
      <c r="AQ26" s="78" t="n"/>
      <c r="AR26" s="79" t="n"/>
      <c r="AS26" s="78" t="n"/>
      <c r="AT26" s="79" t="n"/>
      <c r="AU26" s="78" t="n"/>
      <c r="AV26" s="79" t="n"/>
      <c r="AW26" s="78" t="n"/>
      <c r="AX26" s="79" t="n"/>
      <c r="AY26" s="78" t="n"/>
      <c r="AZ26" s="79" t="n"/>
      <c r="BA26" s="78" t="n"/>
      <c r="BB26" s="79" t="n"/>
      <c r="BC26" s="78" t="n"/>
      <c r="BD26" s="79" t="n"/>
      <c r="BE26" s="78" t="n"/>
      <c r="BF26" s="79" t="n"/>
      <c r="BG26" s="78" t="n"/>
      <c r="BH26" s="79" t="n"/>
      <c r="BI26" s="78" t="n"/>
      <c r="BJ26" s="79" t="n"/>
      <c r="BK26" s="78" t="n"/>
      <c r="BL26" s="79" t="n"/>
      <c r="BM26" s="78" t="n"/>
      <c r="BN26" s="79" t="n"/>
      <c r="BO26" s="78" t="n"/>
      <c r="BP26" s="79" t="n"/>
      <c r="BQ26" s="78" t="n"/>
    </row>
    <row r="27" ht="24" customHeight="1">
      <c r="A27" s="30">
        <f>IF(Personel_Listesi!$B26="","",Personel_Listesi!$A26)</f>
        <v/>
      </c>
      <c r="B27" s="37">
        <f>IF(Personel_Listesi!$B26="","",UPPER(Personel_Listesi!$B26))</f>
        <v/>
      </c>
      <c r="C27" s="80">
        <f>IF(Personel_Listesi!$B26="","",Personel_Listesi!$C26&amp;"")</f>
        <v/>
      </c>
      <c r="D27" s="75">
        <f>IF($B27="","",SUMPRODUCT(COUNTIF($H27:$BQ27,KOD)*KOD_GUN))</f>
        <v/>
      </c>
      <c r="E27" s="76">
        <f>IF($B27="","",SUMPRODUCT(COUNTIF($H27:$BQ27,KOD)*KOD_DEVAMSIZ))</f>
        <v/>
      </c>
      <c r="F27" s="76">
        <f>IF($B27="","",SUMPRODUCT(COUNTIF($H27:$BQ27,KOD)*KOD_IZIN))</f>
        <v/>
      </c>
      <c r="G27" s="76">
        <f>IF($B27="","",SUM(I27,K27,M27,O27,Q27,S27,U27,W27,Y27,AA27,AC27,AE27,AG27,AI27,AK27,AM27,AO27,AQ27,AS27,AU27,AW27,AY27,BA27,BC27,BE27,BG27,BI27,BK27,BM27,BO27,BQ27))</f>
        <v/>
      </c>
      <c r="H27" s="81" t="n"/>
      <c r="I27" s="82" t="n"/>
      <c r="J27" s="83" t="n"/>
      <c r="K27" s="82" t="n"/>
      <c r="L27" s="83" t="n"/>
      <c r="M27" s="82" t="n"/>
      <c r="N27" s="83" t="n"/>
      <c r="O27" s="82" t="n"/>
      <c r="P27" s="83" t="n"/>
      <c r="Q27" s="82" t="n"/>
      <c r="R27" s="83" t="n"/>
      <c r="S27" s="82" t="n"/>
      <c r="T27" s="83" t="n"/>
      <c r="U27" s="82" t="n"/>
      <c r="V27" s="83" t="n"/>
      <c r="W27" s="82" t="n"/>
      <c r="X27" s="83" t="n"/>
      <c r="Y27" s="82" t="n"/>
      <c r="Z27" s="83" t="n"/>
      <c r="AA27" s="82" t="n"/>
      <c r="AB27" s="83" t="n"/>
      <c r="AC27" s="82" t="n"/>
      <c r="AD27" s="83" t="n"/>
      <c r="AE27" s="82" t="n"/>
      <c r="AF27" s="83" t="n"/>
      <c r="AG27" s="82" t="n"/>
      <c r="AH27" s="83" t="n"/>
      <c r="AI27" s="82" t="n"/>
      <c r="AJ27" s="83" t="n"/>
      <c r="AK27" s="82" t="n"/>
      <c r="AL27" s="83" t="n"/>
      <c r="AM27" s="82" t="n"/>
      <c r="AN27" s="83" t="n"/>
      <c r="AO27" s="82" t="n"/>
      <c r="AP27" s="83" t="n"/>
      <c r="AQ27" s="82" t="n"/>
      <c r="AR27" s="83" t="n"/>
      <c r="AS27" s="82" t="n"/>
      <c r="AT27" s="83" t="n"/>
      <c r="AU27" s="82" t="n"/>
      <c r="AV27" s="83" t="n"/>
      <c r="AW27" s="82" t="n"/>
      <c r="AX27" s="83" t="n"/>
      <c r="AY27" s="82" t="n"/>
      <c r="AZ27" s="83" t="n"/>
      <c r="BA27" s="82" t="n"/>
      <c r="BB27" s="83" t="n"/>
      <c r="BC27" s="82" t="n"/>
      <c r="BD27" s="83" t="n"/>
      <c r="BE27" s="82" t="n"/>
      <c r="BF27" s="83" t="n"/>
      <c r="BG27" s="82" t="n"/>
      <c r="BH27" s="83" t="n"/>
      <c r="BI27" s="82" t="n"/>
      <c r="BJ27" s="83" t="n"/>
      <c r="BK27" s="82" t="n"/>
      <c r="BL27" s="83" t="n"/>
      <c r="BM27" s="82" t="n"/>
      <c r="BN27" s="83" t="n"/>
      <c r="BO27" s="82" t="n"/>
      <c r="BP27" s="83" t="n"/>
      <c r="BQ27" s="82" t="n"/>
    </row>
    <row r="28" ht="24" customHeight="1">
      <c r="A28" s="28">
        <f>IF(Personel_Listesi!$B27="","",Personel_Listesi!$A27)</f>
        <v/>
      </c>
      <c r="B28" s="35">
        <f>IF(Personel_Listesi!$B27="","",UPPER(Personel_Listesi!$B27))</f>
        <v/>
      </c>
      <c r="C28" s="74">
        <f>IF(Personel_Listesi!$B27="","",Personel_Listesi!$C27&amp;"")</f>
        <v/>
      </c>
      <c r="D28" s="75">
        <f>IF($B28="","",SUMPRODUCT(COUNTIF($H28:$BQ28,KOD)*KOD_GUN))</f>
        <v/>
      </c>
      <c r="E28" s="76">
        <f>IF($B28="","",SUMPRODUCT(COUNTIF($H28:$BQ28,KOD)*KOD_DEVAMSIZ))</f>
        <v/>
      </c>
      <c r="F28" s="76">
        <f>IF($B28="","",SUMPRODUCT(COUNTIF($H28:$BQ28,KOD)*KOD_IZIN))</f>
        <v/>
      </c>
      <c r="G28" s="76">
        <f>IF($B28="","",SUM(I28,K28,M28,O28,Q28,S28,U28,W28,Y28,AA28,AC28,AE28,AG28,AI28,AK28,AM28,AO28,AQ28,AS28,AU28,AW28,AY28,BA28,BC28,BE28,BG28,BI28,BK28,BM28,BO28,BQ28))</f>
        <v/>
      </c>
      <c r="H28" s="77" t="n"/>
      <c r="I28" s="78" t="n"/>
      <c r="J28" s="79" t="n"/>
      <c r="K28" s="78" t="n"/>
      <c r="L28" s="79" t="n"/>
      <c r="M28" s="78" t="n"/>
      <c r="N28" s="79" t="n"/>
      <c r="O28" s="78" t="n"/>
      <c r="P28" s="79" t="n"/>
      <c r="Q28" s="78" t="n"/>
      <c r="R28" s="79" t="n"/>
      <c r="S28" s="78" t="n"/>
      <c r="T28" s="79" t="n"/>
      <c r="U28" s="78" t="n"/>
      <c r="V28" s="79" t="n"/>
      <c r="W28" s="78" t="n"/>
      <c r="X28" s="79" t="n"/>
      <c r="Y28" s="78" t="n"/>
      <c r="Z28" s="79" t="n"/>
      <c r="AA28" s="78" t="n"/>
      <c r="AB28" s="79" t="n"/>
      <c r="AC28" s="78" t="n"/>
      <c r="AD28" s="79" t="n"/>
      <c r="AE28" s="78" t="n"/>
      <c r="AF28" s="79" t="n"/>
      <c r="AG28" s="78" t="n"/>
      <c r="AH28" s="79" t="n"/>
      <c r="AI28" s="78" t="n"/>
      <c r="AJ28" s="79" t="n"/>
      <c r="AK28" s="78" t="n"/>
      <c r="AL28" s="79" t="n"/>
      <c r="AM28" s="78" t="n"/>
      <c r="AN28" s="79" t="n"/>
      <c r="AO28" s="78" t="n"/>
      <c r="AP28" s="79" t="n"/>
      <c r="AQ28" s="78" t="n"/>
      <c r="AR28" s="79" t="n"/>
      <c r="AS28" s="78" t="n"/>
      <c r="AT28" s="79" t="n"/>
      <c r="AU28" s="78" t="n"/>
      <c r="AV28" s="79" t="n"/>
      <c r="AW28" s="78" t="n"/>
      <c r="AX28" s="79" t="n"/>
      <c r="AY28" s="78" t="n"/>
      <c r="AZ28" s="79" t="n"/>
      <c r="BA28" s="78" t="n"/>
      <c r="BB28" s="79" t="n"/>
      <c r="BC28" s="78" t="n"/>
      <c r="BD28" s="79" t="n"/>
      <c r="BE28" s="78" t="n"/>
      <c r="BF28" s="79" t="n"/>
      <c r="BG28" s="78" t="n"/>
      <c r="BH28" s="79" t="n"/>
      <c r="BI28" s="78" t="n"/>
      <c r="BJ28" s="79" t="n"/>
      <c r="BK28" s="78" t="n"/>
      <c r="BL28" s="79" t="n"/>
      <c r="BM28" s="78" t="n"/>
      <c r="BN28" s="79" t="n"/>
      <c r="BO28" s="78" t="n"/>
      <c r="BP28" s="79" t="n"/>
      <c r="BQ28" s="78" t="n"/>
    </row>
    <row r="29" ht="24" customHeight="1">
      <c r="A29" s="30">
        <f>IF(Personel_Listesi!$B28="","",Personel_Listesi!$A28)</f>
        <v/>
      </c>
      <c r="B29" s="37">
        <f>IF(Personel_Listesi!$B28="","",UPPER(Personel_Listesi!$B28))</f>
        <v/>
      </c>
      <c r="C29" s="80">
        <f>IF(Personel_Listesi!$B28="","",Personel_Listesi!$C28&amp;"")</f>
        <v/>
      </c>
      <c r="D29" s="75">
        <f>IF($B29="","",SUMPRODUCT(COUNTIF($H29:$BQ29,KOD)*KOD_GUN))</f>
        <v/>
      </c>
      <c r="E29" s="76">
        <f>IF($B29="","",SUMPRODUCT(COUNTIF($H29:$BQ29,KOD)*KOD_DEVAMSIZ))</f>
        <v/>
      </c>
      <c r="F29" s="76">
        <f>IF($B29="","",SUMPRODUCT(COUNTIF($H29:$BQ29,KOD)*KOD_IZIN))</f>
        <v/>
      </c>
      <c r="G29" s="76">
        <f>IF($B29="","",SUM(I29,K29,M29,O29,Q29,S29,U29,W29,Y29,AA29,AC29,AE29,AG29,AI29,AK29,AM29,AO29,AQ29,AS29,AU29,AW29,AY29,BA29,BC29,BE29,BG29,BI29,BK29,BM29,BO29,BQ29))</f>
        <v/>
      </c>
      <c r="H29" s="81" t="n"/>
      <c r="I29" s="82" t="n"/>
      <c r="J29" s="83" t="n"/>
      <c r="K29" s="82" t="n"/>
      <c r="L29" s="83" t="n"/>
      <c r="M29" s="82" t="n"/>
      <c r="N29" s="83" t="n"/>
      <c r="O29" s="82" t="n"/>
      <c r="P29" s="83" t="n"/>
      <c r="Q29" s="82" t="n"/>
      <c r="R29" s="83" t="n"/>
      <c r="S29" s="82" t="n"/>
      <c r="T29" s="83" t="n"/>
      <c r="U29" s="82" t="n"/>
      <c r="V29" s="83" t="n"/>
      <c r="W29" s="82" t="n"/>
      <c r="X29" s="83" t="n"/>
      <c r="Y29" s="82" t="n"/>
      <c r="Z29" s="83" t="n"/>
      <c r="AA29" s="82" t="n"/>
      <c r="AB29" s="83" t="n"/>
      <c r="AC29" s="82" t="n"/>
      <c r="AD29" s="83" t="n"/>
      <c r="AE29" s="82" t="n"/>
      <c r="AF29" s="83" t="n"/>
      <c r="AG29" s="82" t="n"/>
      <c r="AH29" s="83" t="n"/>
      <c r="AI29" s="82" t="n"/>
      <c r="AJ29" s="83" t="n"/>
      <c r="AK29" s="82" t="n"/>
      <c r="AL29" s="83" t="n"/>
      <c r="AM29" s="82" t="n"/>
      <c r="AN29" s="83" t="n"/>
      <c r="AO29" s="82" t="n"/>
      <c r="AP29" s="83" t="n"/>
      <c r="AQ29" s="82" t="n"/>
      <c r="AR29" s="83" t="n"/>
      <c r="AS29" s="82" t="n"/>
      <c r="AT29" s="83" t="n"/>
      <c r="AU29" s="82" t="n"/>
      <c r="AV29" s="83" t="n"/>
      <c r="AW29" s="82" t="n"/>
      <c r="AX29" s="83" t="n"/>
      <c r="AY29" s="82" t="n"/>
      <c r="AZ29" s="83" t="n"/>
      <c r="BA29" s="82" t="n"/>
      <c r="BB29" s="83" t="n"/>
      <c r="BC29" s="82" t="n"/>
      <c r="BD29" s="83" t="n"/>
      <c r="BE29" s="82" t="n"/>
      <c r="BF29" s="83" t="n"/>
      <c r="BG29" s="82" t="n"/>
      <c r="BH29" s="83" t="n"/>
      <c r="BI29" s="82" t="n"/>
      <c r="BJ29" s="83" t="n"/>
      <c r="BK29" s="82" t="n"/>
      <c r="BL29" s="83" t="n"/>
      <c r="BM29" s="82" t="n"/>
      <c r="BN29" s="83" t="n"/>
      <c r="BO29" s="82" t="n"/>
      <c r="BP29" s="83" t="n"/>
      <c r="BQ29" s="82" t="n"/>
    </row>
    <row r="30" ht="24" customHeight="1">
      <c r="A30" s="28">
        <f>IF(Personel_Listesi!$B29="","",Personel_Listesi!$A29)</f>
        <v/>
      </c>
      <c r="B30" s="35">
        <f>IF(Personel_Listesi!$B29="","",UPPER(Personel_Listesi!$B29))</f>
        <v/>
      </c>
      <c r="C30" s="74">
        <f>IF(Personel_Listesi!$B29="","",Personel_Listesi!$C29&amp;"")</f>
        <v/>
      </c>
      <c r="D30" s="75">
        <f>IF($B30="","",SUMPRODUCT(COUNTIF($H30:$BQ30,KOD)*KOD_GUN))</f>
        <v/>
      </c>
      <c r="E30" s="76">
        <f>IF($B30="","",SUMPRODUCT(COUNTIF($H30:$BQ30,KOD)*KOD_DEVAMSIZ))</f>
        <v/>
      </c>
      <c r="F30" s="76">
        <f>IF($B30="","",SUMPRODUCT(COUNTIF($H30:$BQ30,KOD)*KOD_IZIN))</f>
        <v/>
      </c>
      <c r="G30" s="76">
        <f>IF($B30="","",SUM(I30,K30,M30,O30,Q30,S30,U30,W30,Y30,AA30,AC30,AE30,AG30,AI30,AK30,AM30,AO30,AQ30,AS30,AU30,AW30,AY30,BA30,BC30,BE30,BG30,BI30,BK30,BM30,BO30,BQ30))</f>
        <v/>
      </c>
      <c r="H30" s="77" t="n"/>
      <c r="I30" s="78" t="n"/>
      <c r="J30" s="79" t="n"/>
      <c r="K30" s="78" t="n"/>
      <c r="L30" s="79" t="n"/>
      <c r="M30" s="78" t="n"/>
      <c r="N30" s="79" t="n"/>
      <c r="O30" s="78" t="n"/>
      <c r="P30" s="79" t="n"/>
      <c r="Q30" s="78" t="n"/>
      <c r="R30" s="79" t="n"/>
      <c r="S30" s="78" t="n"/>
      <c r="T30" s="79" t="n"/>
      <c r="U30" s="78" t="n"/>
      <c r="V30" s="79" t="n"/>
      <c r="W30" s="78" t="n"/>
      <c r="X30" s="79" t="n"/>
      <c r="Y30" s="78" t="n"/>
      <c r="Z30" s="79" t="n"/>
      <c r="AA30" s="78" t="n"/>
      <c r="AB30" s="79" t="n"/>
      <c r="AC30" s="78" t="n"/>
      <c r="AD30" s="79" t="n"/>
      <c r="AE30" s="78" t="n"/>
      <c r="AF30" s="79" t="n"/>
      <c r="AG30" s="78" t="n"/>
      <c r="AH30" s="79" t="n"/>
      <c r="AI30" s="78" t="n"/>
      <c r="AJ30" s="79" t="n"/>
      <c r="AK30" s="78" t="n"/>
      <c r="AL30" s="79" t="n"/>
      <c r="AM30" s="78" t="n"/>
      <c r="AN30" s="79" t="n"/>
      <c r="AO30" s="78" t="n"/>
      <c r="AP30" s="79" t="n"/>
      <c r="AQ30" s="78" t="n"/>
      <c r="AR30" s="79" t="n"/>
      <c r="AS30" s="78" t="n"/>
      <c r="AT30" s="79" t="n"/>
      <c r="AU30" s="78" t="n"/>
      <c r="AV30" s="79" t="n"/>
      <c r="AW30" s="78" t="n"/>
      <c r="AX30" s="79" t="n"/>
      <c r="AY30" s="78" t="n"/>
      <c r="AZ30" s="79" t="n"/>
      <c r="BA30" s="78" t="n"/>
      <c r="BB30" s="79" t="n"/>
      <c r="BC30" s="78" t="n"/>
      <c r="BD30" s="79" t="n"/>
      <c r="BE30" s="78" t="n"/>
      <c r="BF30" s="79" t="n"/>
      <c r="BG30" s="78" t="n"/>
      <c r="BH30" s="79" t="n"/>
      <c r="BI30" s="78" t="n"/>
      <c r="BJ30" s="79" t="n"/>
      <c r="BK30" s="78" t="n"/>
      <c r="BL30" s="79" t="n"/>
      <c r="BM30" s="78" t="n"/>
      <c r="BN30" s="79" t="n"/>
      <c r="BO30" s="78" t="n"/>
      <c r="BP30" s="79" t="n"/>
      <c r="BQ30" s="78" t="n"/>
    </row>
    <row r="31" ht="26" customHeight="1">
      <c r="A31" s="84" t="inlineStr">
        <is>
          <t>GÜNLÜK YEMEK SAYISI</t>
        </is>
      </c>
      <c r="B31" s="84" t="n"/>
      <c r="C31" s="84" t="n"/>
      <c r="D31" s="85">
        <f>"Ay toplamı: "&amp;SUM(H31,J31,L31,N31,P31,R31,T31,V31,X31,Z31,AB31,AD31,AF31,AH31,AJ31,AL31,AN31,AP31,AR31,AT31,AV31,AX31,AZ31,BB31,BD31,BF31,BH31,BJ31,BL31,BN31,BP31)</f>
        <v/>
      </c>
      <c r="E31" s="8" t="n"/>
      <c r="F31" s="8" t="n"/>
      <c r="G31" s="8" t="n"/>
      <c r="H31" s="86">
        <f>SUMPRODUCT(COUNTIF(H6:H30,KOD)*KOD_YEMEK)</f>
        <v/>
      </c>
      <c r="I31" s="87" t="n"/>
      <c r="J31" s="88">
        <f>SUMPRODUCT(COUNTIF(J6:J30,KOD)*KOD_YEMEK)</f>
        <v/>
      </c>
      <c r="K31" s="87" t="n"/>
      <c r="L31" s="88">
        <f>SUMPRODUCT(COUNTIF(L6:L30,KOD)*KOD_YEMEK)</f>
        <v/>
      </c>
      <c r="M31" s="87" t="n"/>
      <c r="N31" s="88">
        <f>SUMPRODUCT(COUNTIF(N6:N30,KOD)*KOD_YEMEK)</f>
        <v/>
      </c>
      <c r="O31" s="87" t="n"/>
      <c r="P31" s="88">
        <f>SUMPRODUCT(COUNTIF(P6:P30,KOD)*KOD_YEMEK)</f>
        <v/>
      </c>
      <c r="Q31" s="87" t="n"/>
      <c r="R31" s="88">
        <f>SUMPRODUCT(COUNTIF(R6:R30,KOD)*KOD_YEMEK)</f>
        <v/>
      </c>
      <c r="S31" s="87" t="n"/>
      <c r="T31" s="88">
        <f>SUMPRODUCT(COUNTIF(T6:T30,KOD)*KOD_YEMEK)</f>
        <v/>
      </c>
      <c r="U31" s="87" t="n"/>
      <c r="V31" s="88">
        <f>SUMPRODUCT(COUNTIF(V6:V30,KOD)*KOD_YEMEK)</f>
        <v/>
      </c>
      <c r="W31" s="87" t="n"/>
      <c r="X31" s="88">
        <f>SUMPRODUCT(COUNTIF(X6:X30,KOD)*KOD_YEMEK)</f>
        <v/>
      </c>
      <c r="Y31" s="87" t="n"/>
      <c r="Z31" s="88">
        <f>SUMPRODUCT(COUNTIF(Z6:Z30,KOD)*KOD_YEMEK)</f>
        <v/>
      </c>
      <c r="AA31" s="87" t="n"/>
      <c r="AB31" s="88">
        <f>SUMPRODUCT(COUNTIF(AB6:AB30,KOD)*KOD_YEMEK)</f>
        <v/>
      </c>
      <c r="AC31" s="87" t="n"/>
      <c r="AD31" s="88">
        <f>SUMPRODUCT(COUNTIF(AD6:AD30,KOD)*KOD_YEMEK)</f>
        <v/>
      </c>
      <c r="AE31" s="87" t="n"/>
      <c r="AF31" s="88">
        <f>SUMPRODUCT(COUNTIF(AF6:AF30,KOD)*KOD_YEMEK)</f>
        <v/>
      </c>
      <c r="AG31" s="87" t="n"/>
      <c r="AH31" s="88">
        <f>SUMPRODUCT(COUNTIF(AH6:AH30,KOD)*KOD_YEMEK)</f>
        <v/>
      </c>
      <c r="AI31" s="87" t="n"/>
      <c r="AJ31" s="88">
        <f>SUMPRODUCT(COUNTIF(AJ6:AJ30,KOD)*KOD_YEMEK)</f>
        <v/>
      </c>
      <c r="AK31" s="87" t="n"/>
      <c r="AL31" s="88">
        <f>SUMPRODUCT(COUNTIF(AL6:AL30,KOD)*KOD_YEMEK)</f>
        <v/>
      </c>
      <c r="AM31" s="87" t="n"/>
      <c r="AN31" s="88">
        <f>SUMPRODUCT(COUNTIF(AN6:AN30,KOD)*KOD_YEMEK)</f>
        <v/>
      </c>
      <c r="AO31" s="87" t="n"/>
      <c r="AP31" s="88">
        <f>SUMPRODUCT(COUNTIF(AP6:AP30,KOD)*KOD_YEMEK)</f>
        <v/>
      </c>
      <c r="AQ31" s="87" t="n"/>
      <c r="AR31" s="88">
        <f>SUMPRODUCT(COUNTIF(AR6:AR30,KOD)*KOD_YEMEK)</f>
        <v/>
      </c>
      <c r="AS31" s="87" t="n"/>
      <c r="AT31" s="88">
        <f>SUMPRODUCT(COUNTIF(AT6:AT30,KOD)*KOD_YEMEK)</f>
        <v/>
      </c>
      <c r="AU31" s="87" t="n"/>
      <c r="AV31" s="88">
        <f>SUMPRODUCT(COUNTIF(AV6:AV30,KOD)*KOD_YEMEK)</f>
        <v/>
      </c>
      <c r="AW31" s="87" t="n"/>
      <c r="AX31" s="88">
        <f>SUMPRODUCT(COUNTIF(AX6:AX30,KOD)*KOD_YEMEK)</f>
        <v/>
      </c>
      <c r="AY31" s="87" t="n"/>
      <c r="AZ31" s="88">
        <f>SUMPRODUCT(COUNTIF(AZ6:AZ30,KOD)*KOD_YEMEK)</f>
        <v/>
      </c>
      <c r="BA31" s="87" t="n"/>
      <c r="BB31" s="88">
        <f>SUMPRODUCT(COUNTIF(BB6:BB30,KOD)*KOD_YEMEK)</f>
        <v/>
      </c>
      <c r="BC31" s="87" t="n"/>
      <c r="BD31" s="88">
        <f>SUMPRODUCT(COUNTIF(BD6:BD30,KOD)*KOD_YEMEK)</f>
        <v/>
      </c>
      <c r="BE31" s="87" t="n"/>
      <c r="BF31" s="88">
        <f>SUMPRODUCT(COUNTIF(BF6:BF30,KOD)*KOD_YEMEK)</f>
        <v/>
      </c>
      <c r="BG31" s="87" t="n"/>
      <c r="BH31" s="88">
        <f>SUMPRODUCT(COUNTIF(BH6:BH30,KOD)*KOD_YEMEK)</f>
        <v/>
      </c>
      <c r="BI31" s="87" t="n"/>
      <c r="BJ31" s="88">
        <f>SUMPRODUCT(COUNTIF(BJ6:BJ30,KOD)*KOD_YEMEK)</f>
        <v/>
      </c>
      <c r="BK31" s="87" t="n"/>
      <c r="BL31" s="88">
        <f>SUMPRODUCT(COUNTIF(BL6:BL30,KOD)*KOD_YEMEK)</f>
        <v/>
      </c>
      <c r="BM31" s="87" t="n"/>
      <c r="BN31" s="88">
        <f>SUMPRODUCT(COUNTIF(BN6:BN30,KOD)*KOD_YEMEK)</f>
        <v/>
      </c>
      <c r="BO31" s="87" t="n"/>
      <c r="BP31" s="88">
        <f>SUMPRODUCT(COUNTIF(BP6:BP30,KOD)*KOD_YEMEK)</f>
        <v/>
      </c>
      <c r="BQ31" s="87" t="n"/>
    </row>
    <row r="32" ht="22" customHeight="1">
      <c r="A32" s="89" t="inlineStr">
        <is>
          <t>GÜNLÜK MESAİ TOPLAMI (SAAT)</t>
        </is>
      </c>
      <c r="B32" s="89" t="n"/>
      <c r="C32" s="89" t="n"/>
      <c r="D32" s="90">
        <f>"Ay toplamı: "&amp;TEXT(SUM(G6:G30),"0.0")</f>
        <v/>
      </c>
      <c r="E32" s="18" t="n"/>
      <c r="F32" s="18" t="n"/>
      <c r="G32" s="18" t="n"/>
      <c r="H32" s="91">
        <f>SUM(I6:I30)</f>
        <v/>
      </c>
      <c r="I32" s="30" t="n"/>
      <c r="J32" s="92">
        <f>SUM(K6:K30)</f>
        <v/>
      </c>
      <c r="K32" s="30" t="n"/>
      <c r="L32" s="92">
        <f>SUM(M6:M30)</f>
        <v/>
      </c>
      <c r="M32" s="30" t="n"/>
      <c r="N32" s="92">
        <f>SUM(O6:O30)</f>
        <v/>
      </c>
      <c r="O32" s="30" t="n"/>
      <c r="P32" s="92">
        <f>SUM(Q6:Q30)</f>
        <v/>
      </c>
      <c r="Q32" s="30" t="n"/>
      <c r="R32" s="92">
        <f>SUM(S6:S30)</f>
        <v/>
      </c>
      <c r="S32" s="30" t="n"/>
      <c r="T32" s="92">
        <f>SUM(U6:U30)</f>
        <v/>
      </c>
      <c r="U32" s="30" t="n"/>
      <c r="V32" s="92">
        <f>SUM(W6:W30)</f>
        <v/>
      </c>
      <c r="W32" s="30" t="n"/>
      <c r="X32" s="92">
        <f>SUM(Y6:Y30)</f>
        <v/>
      </c>
      <c r="Y32" s="30" t="n"/>
      <c r="Z32" s="92">
        <f>SUM(AA6:AA30)</f>
        <v/>
      </c>
      <c r="AA32" s="30" t="n"/>
      <c r="AB32" s="92">
        <f>SUM(AC6:AC30)</f>
        <v/>
      </c>
      <c r="AC32" s="30" t="n"/>
      <c r="AD32" s="92">
        <f>SUM(AE6:AE30)</f>
        <v/>
      </c>
      <c r="AE32" s="30" t="n"/>
      <c r="AF32" s="92">
        <f>SUM(AG6:AG30)</f>
        <v/>
      </c>
      <c r="AG32" s="30" t="n"/>
      <c r="AH32" s="92">
        <f>SUM(AI6:AI30)</f>
        <v/>
      </c>
      <c r="AI32" s="30" t="n"/>
      <c r="AJ32" s="92">
        <f>SUM(AK6:AK30)</f>
        <v/>
      </c>
      <c r="AK32" s="30" t="n"/>
      <c r="AL32" s="92">
        <f>SUM(AM6:AM30)</f>
        <v/>
      </c>
      <c r="AM32" s="30" t="n"/>
      <c r="AN32" s="92">
        <f>SUM(AO6:AO30)</f>
        <v/>
      </c>
      <c r="AO32" s="30" t="n"/>
      <c r="AP32" s="92">
        <f>SUM(AQ6:AQ30)</f>
        <v/>
      </c>
      <c r="AQ32" s="30" t="n"/>
      <c r="AR32" s="92">
        <f>SUM(AS6:AS30)</f>
        <v/>
      </c>
      <c r="AS32" s="30" t="n"/>
      <c r="AT32" s="92">
        <f>SUM(AU6:AU30)</f>
        <v/>
      </c>
      <c r="AU32" s="30" t="n"/>
      <c r="AV32" s="92">
        <f>SUM(AW6:AW30)</f>
        <v/>
      </c>
      <c r="AW32" s="30" t="n"/>
      <c r="AX32" s="92">
        <f>SUM(AY6:AY30)</f>
        <v/>
      </c>
      <c r="AY32" s="30" t="n"/>
      <c r="AZ32" s="92">
        <f>SUM(BA6:BA30)</f>
        <v/>
      </c>
      <c r="BA32" s="30" t="n"/>
      <c r="BB32" s="92">
        <f>SUM(BC6:BC30)</f>
        <v/>
      </c>
      <c r="BC32" s="30" t="n"/>
      <c r="BD32" s="92">
        <f>SUM(BE6:BE30)</f>
        <v/>
      </c>
      <c r="BE32" s="30" t="n"/>
      <c r="BF32" s="92">
        <f>SUM(BG6:BG30)</f>
        <v/>
      </c>
      <c r="BG32" s="30" t="n"/>
      <c r="BH32" s="92">
        <f>SUM(BI6:BI30)</f>
        <v/>
      </c>
      <c r="BI32" s="30" t="n"/>
      <c r="BJ32" s="92">
        <f>SUM(BK6:BK30)</f>
        <v/>
      </c>
      <c r="BK32" s="30" t="n"/>
      <c r="BL32" s="92">
        <f>SUM(BM6:BM30)</f>
        <v/>
      </c>
      <c r="BM32" s="30" t="n"/>
      <c r="BN32" s="92">
        <f>SUM(BO6:BO30)</f>
        <v/>
      </c>
      <c r="BO32" s="30" t="n"/>
      <c r="BP32" s="92">
        <f>SUM(BQ6:BQ30)</f>
        <v/>
      </c>
      <c r="BQ32" s="30" t="n"/>
    </row>
  </sheetData>
  <mergeCells count="145">
    <mergeCell ref="AD3:AE3"/>
    <mergeCell ref="AN3:AO3"/>
    <mergeCell ref="AP3:AQ3"/>
    <mergeCell ref="A1:BQ1"/>
    <mergeCell ref="L3:M3"/>
    <mergeCell ref="AT3:AU3"/>
    <mergeCell ref="BD3:BE3"/>
    <mergeCell ref="N3:O3"/>
    <mergeCell ref="AV3:AW3"/>
    <mergeCell ref="BN3:BO3"/>
    <mergeCell ref="BP3:BQ3"/>
    <mergeCell ref="E3:E5"/>
    <mergeCell ref="X2:AA2"/>
    <mergeCell ref="AB31:AC31"/>
    <mergeCell ref="AT32:AU32"/>
    <mergeCell ref="AD31:AE31"/>
    <mergeCell ref="AN31:AO31"/>
    <mergeCell ref="AZ4:BA4"/>
    <mergeCell ref="AH2:AM2"/>
    <mergeCell ref="J4:K4"/>
    <mergeCell ref="BB4:BC4"/>
    <mergeCell ref="D31:G31"/>
    <mergeCell ref="L4:M4"/>
    <mergeCell ref="AP31:AQ31"/>
    <mergeCell ref="AZ31:BA31"/>
    <mergeCell ref="BL4:BM4"/>
    <mergeCell ref="BN4:BO4"/>
    <mergeCell ref="P32:Q32"/>
    <mergeCell ref="R32:S32"/>
    <mergeCell ref="J31:K31"/>
    <mergeCell ref="L31:M31"/>
    <mergeCell ref="AD32:AE32"/>
    <mergeCell ref="AT31:AU31"/>
    <mergeCell ref="N31:O31"/>
    <mergeCell ref="AF32:AG32"/>
    <mergeCell ref="BN31:BO31"/>
    <mergeCell ref="BP31:BQ31"/>
    <mergeCell ref="AJ4:AK4"/>
    <mergeCell ref="AL4:AM4"/>
    <mergeCell ref="G3:G5"/>
    <mergeCell ref="AH32:AI32"/>
    <mergeCell ref="AJ32:AK32"/>
    <mergeCell ref="BB32:BC32"/>
    <mergeCell ref="BD32:BE32"/>
    <mergeCell ref="AP4:AQ4"/>
    <mergeCell ref="AV32:AW32"/>
    <mergeCell ref="A32:C32"/>
    <mergeCell ref="B3:B5"/>
    <mergeCell ref="X3:Y3"/>
    <mergeCell ref="Z3:AA3"/>
    <mergeCell ref="AJ3:AK3"/>
    <mergeCell ref="AL3:AM3"/>
    <mergeCell ref="A31:C31"/>
    <mergeCell ref="T31:U31"/>
    <mergeCell ref="H3:I3"/>
    <mergeCell ref="X4:Y4"/>
    <mergeCell ref="J3:K3"/>
    <mergeCell ref="Z4:AA4"/>
    <mergeCell ref="BJ3:BK3"/>
    <mergeCell ref="AF31:AG31"/>
    <mergeCell ref="BL3:BM3"/>
    <mergeCell ref="A3:A5"/>
    <mergeCell ref="T2:W2"/>
    <mergeCell ref="X31:Y31"/>
    <mergeCell ref="AP32:AQ32"/>
    <mergeCell ref="Z31:AA31"/>
    <mergeCell ref="AR32:AS32"/>
    <mergeCell ref="AD4:AE4"/>
    <mergeCell ref="AJ31:AK31"/>
    <mergeCell ref="AV4:AW4"/>
    <mergeCell ref="N4:O4"/>
    <mergeCell ref="AL31:AM31"/>
    <mergeCell ref="P4:Q4"/>
    <mergeCell ref="AX4:AY4"/>
    <mergeCell ref="N2:S2"/>
    <mergeCell ref="BD31:BE31"/>
    <mergeCell ref="AV31:AW31"/>
    <mergeCell ref="BH4:BI4"/>
    <mergeCell ref="BF31:BG31"/>
    <mergeCell ref="BJ4:BK4"/>
    <mergeCell ref="L32:M32"/>
    <mergeCell ref="N32:O32"/>
    <mergeCell ref="BN32:BO32"/>
    <mergeCell ref="X32:Y32"/>
    <mergeCell ref="BP32:BQ32"/>
    <mergeCell ref="H31:I31"/>
    <mergeCell ref="Z32:AA32"/>
    <mergeCell ref="BH32:BI32"/>
    <mergeCell ref="AB32:AC32"/>
    <mergeCell ref="AF4:AG4"/>
    <mergeCell ref="AH4:AI4"/>
    <mergeCell ref="BP4:BQ4"/>
    <mergeCell ref="C3:C5"/>
    <mergeCell ref="BH31:BI31"/>
    <mergeCell ref="AX32:AY32"/>
    <mergeCell ref="AZ32:BA32"/>
    <mergeCell ref="F3:F5"/>
    <mergeCell ref="P3:Q3"/>
    <mergeCell ref="AX3:AY3"/>
    <mergeCell ref="AZ3:BA3"/>
    <mergeCell ref="A2:G2"/>
    <mergeCell ref="T3:U3"/>
    <mergeCell ref="V3:W3"/>
    <mergeCell ref="AN2:AQ2"/>
    <mergeCell ref="AR31:AS31"/>
    <mergeCell ref="AF3:AG3"/>
    <mergeCell ref="AH3:AI3"/>
    <mergeCell ref="BB3:BC3"/>
    <mergeCell ref="T32:U32"/>
    <mergeCell ref="H4:I4"/>
    <mergeCell ref="H2:M2"/>
    <mergeCell ref="R4:S4"/>
    <mergeCell ref="AB4:AC4"/>
    <mergeCell ref="P31:Q31"/>
    <mergeCell ref="T4:U4"/>
    <mergeCell ref="R31:S31"/>
    <mergeCell ref="AB2:AG2"/>
    <mergeCell ref="V4:W4"/>
    <mergeCell ref="BF3:BG3"/>
    <mergeCell ref="AX31:AY31"/>
    <mergeCell ref="AN4:AO4"/>
    <mergeCell ref="BH3:BI3"/>
    <mergeCell ref="BJ31:BK31"/>
    <mergeCell ref="BL31:BM31"/>
    <mergeCell ref="AL32:AM32"/>
    <mergeCell ref="V31:W31"/>
    <mergeCell ref="AN32:AO32"/>
    <mergeCell ref="BF32:BG32"/>
    <mergeCell ref="AR4:AS4"/>
    <mergeCell ref="AH31:AI31"/>
    <mergeCell ref="AT4:AU4"/>
    <mergeCell ref="AR2:AW2"/>
    <mergeCell ref="BB31:BC31"/>
    <mergeCell ref="BD4:BE4"/>
    <mergeCell ref="BF4:BG4"/>
    <mergeCell ref="H32:I32"/>
    <mergeCell ref="J32:K32"/>
    <mergeCell ref="BJ32:BK32"/>
    <mergeCell ref="BL32:BM32"/>
    <mergeCell ref="R3:S3"/>
    <mergeCell ref="V32:W32"/>
    <mergeCell ref="D32:G32"/>
    <mergeCell ref="D3:D5"/>
    <mergeCell ref="AR3:AS3"/>
    <mergeCell ref="AB3:AC3"/>
  </mergeCells>
  <conditionalFormatting sqref="H6:BQ30">
    <cfRule type="expression" priority="1" dxfId="1" stopIfTrue="1">
      <formula>AND(ISTEXT(H6),IFERROR(INDEX(KOD_GRUP,MATCH(H6,KOD,0)),"")="ÇALIŞTI")</formula>
    </cfRule>
    <cfRule type="expression" priority="2" dxfId="2" stopIfTrue="1">
      <formula>AND(ISTEXT(H6),IFERROR(INDEX(KOD_GRUP,MATCH(H6,KOD,0)),"")="YARIM")</formula>
    </cfRule>
    <cfRule type="expression" priority="3" dxfId="3" stopIfTrue="1">
      <formula>AND(ISTEXT(H6),IFERROR(INDEX(KOD_GRUP,MATCH(H6,KOD,0)),"")="DEVAMSIZ")</formula>
    </cfRule>
    <cfRule type="expression" priority="4" dxfId="4" stopIfTrue="1">
      <formula>AND(ISTEXT(H6),IFERROR(INDEX(KOD_GRUP,MATCH(H6,KOD,0)),"")="İZİN")</formula>
    </cfRule>
    <cfRule type="expression" priority="5" dxfId="5" stopIfTrue="1">
      <formula>AND(ISTEXT(H6),IFERROR(INDEX(KOD_GRUP,MATCH(H6,KOD,0)),"")="TATİL")</formula>
    </cfRule>
    <cfRule type="expression" priority="6" dxfId="6" stopIfTrue="1">
      <formula>AND(ISTEXT(H6),ISNA(MATCH(H6,KOD,0)))</formula>
    </cfRule>
    <cfRule type="expression" priority="7" dxfId="7" stopIfTrue="1">
      <formula>OR(AND(INDEX(PL_GIRIS,(ROW(H6)-5))&lt;&gt;"",(DATE(2026,12,1)+INT((COLUMN(H6)-8)/2))&lt;INDEX(PL_GIRIS,(ROW(H6)-5))),AND(INDEX(PL_CIKIS,(ROW(H6)-5))&lt;&gt;"",(DATE(2026,12,1)+INT((COLUMN(H6)-8)/2))&gt;INDEX(PL_CIKIS,(ROW(H6)-5))))</formula>
    </cfRule>
    <cfRule type="expression" priority="8" dxfId="8">
      <formula>OR(WEEKDAY((DATE(2026,12,1)+INT((COLUMN(H6)-8)/2)),2)=7,COUNTIF(TATIL,(DATE(2026,12,1)+INT((COLUMN(H6)-8)/2)))&gt;0)</formula>
    </cfRule>
  </conditionalFormatting>
  <conditionalFormatting sqref="H3:BQ4">
    <cfRule type="expression" priority="9" dxfId="9">
      <formula>AND(ISNUMBER(H$3),OR(WEEKDAY(H$3,2)=7,COUNTIF(TATIL,H$3)&gt;0))</formula>
    </cfRule>
  </conditionalFormatting>
  <dataValidations count="2">
    <dataValidation sqref="H6:H30 J6:J30 L6:L30 N6:N30 P6:P30 R6:R30 T6:T30 V6:V30 X6:X30 Z6:Z30 AB6:AB30 AD6:AD30 AF6:AF30 AH6:AH30 AJ6:AJ30 AL6:AL30 AN6:AN30 AP6:AP30 AR6:AR30 AT6:AT30 AV6:AV30 AX6:AX30 AZ6:AZ30 BB6:BB30 BD6:BD30 BF6:BF30 BH6:BH30 BJ6:BJ30 BL6:BL30 BN6:BN30 BP6:BP30" showDropDown="0" showInputMessage="0" showErrorMessage="0" allowBlank="1" type="list">
      <formula1>=KOD</formula1>
    </dataValidation>
    <dataValidation sqref="I6:I30 K6:K30 M6:M30 O6:O30 Q6:Q30 S6:S30 U6:U30 W6:W30 Y6:Y30 AA6:AA30 AC6:AC30 AE6:AE30 AG6:AG30 AI6:AI30 AK6:AK30 AM6:AM30 AO6:AO30 AQ6:AQ30 AS6:AS30 AU6:AU30 AW6:AW30 AY6:AY30 BA6:BA30 BC6:BC30 BE6:BE30 BG6:BG30 BI6:BI30 BK6:BK30 BM6:BM30 BO6:BO30 BQ6:BQ30" showDropDown="0" showInputMessage="0" showErrorMessage="1" allowBlank="1" errorTitle="Geçersiz Mesai" error="Mesai 0 ile 24 arasında bir sayı (saat) olmalıdır. Örn: 2,5" type="decimal" operator="between">
      <formula1>0</formula1>
      <formula2>24</formula2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2026-10-01T07:55:31Z</dcterms:created>
  <dcterms:modified xsi:type="dcterms:W3CDTF">2026-10-01T07:55:32Z</dcterms:modified>
</cp:coreProperties>
</file>