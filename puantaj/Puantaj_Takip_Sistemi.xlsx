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llik_Rapor" sheetId="1" state="visible" r:id="rId1"/>
    <sheet name="Aylik_Rapor" sheetId="2" state="visible" r:id="rId2"/>
    <sheet name="Personel_Listesi" sheetId="3" state="visible" r:id="rId3"/>
    <sheet name="Ocak" sheetId="4" state="visible" r:id="rId4"/>
    <sheet name="Şubat" sheetId="5" state="visible" r:id="rId5"/>
    <sheet name="Mart" sheetId="6" state="visible" r:id="rId6"/>
    <sheet name="Nisan" sheetId="7" state="visible" r:id="rId7"/>
    <sheet name="Mayıs" sheetId="8" state="visible" r:id="rId8"/>
    <sheet name="Haziran" sheetId="9" state="visible" r:id="rId9"/>
    <sheet name="Temmuz" sheetId="10" state="visible" r:id="rId10"/>
    <sheet name="Ağustos" sheetId="11" state="visible" r:id="rId11"/>
    <sheet name="Eylül" sheetId="12" state="visible" r:id="rId12"/>
    <sheet name="Ekim" sheetId="13" state="visible" r:id="rId13"/>
    <sheet name="Kasım" sheetId="14" state="visible" r:id="rId14"/>
    <sheet name="Aralık" sheetId="15" state="visible" r:id="rId15"/>
  </sheets>
  <definedNames>
    <definedName name="_xlnm._FilterDatabase" localSheetId="0" hidden="1">'Yillik_Rapor'!$A$7:$G$203</definedName>
    <definedName name="_xlnm.Print_Titles" localSheetId="0">'Yillik_Rapor'!$7:$7</definedName>
    <definedName name="_xlnm.Print_Titles" localSheetId="3">'Ocak'!$4:$5,'Ocak'!$A:$C</definedName>
    <definedName name="_xlnm.Print_Titles" localSheetId="4">'Şubat'!$4:$5,'Şubat'!$A:$C</definedName>
    <definedName name="_xlnm.Print_Titles" localSheetId="5">'Mart'!$4:$5,'Mart'!$A:$C</definedName>
    <definedName name="_xlnm.Print_Titles" localSheetId="6">'Nisan'!$4:$5,'Nisan'!$A:$C</definedName>
    <definedName name="_xlnm.Print_Titles" localSheetId="7">'Mayıs'!$4:$5,'Mayıs'!$A:$C</definedName>
    <definedName name="_xlnm.Print_Titles" localSheetId="8">'Haziran'!$4:$5,'Haziran'!$A:$C</definedName>
    <definedName name="_xlnm.Print_Titles" localSheetId="9">'Temmuz'!$4:$5,'Temmuz'!$A:$C</definedName>
    <definedName name="_xlnm.Print_Titles" localSheetId="10">'Ağustos'!$4:$5,'Ağustos'!$A:$C</definedName>
    <definedName name="_xlnm.Print_Titles" localSheetId="11">'Eylül'!$4:$5,'Eylül'!$A:$C</definedName>
    <definedName name="_xlnm.Print_Titles" localSheetId="12">'Ekim'!$4:$5,'Ekim'!$A:$C</definedName>
    <definedName name="_xlnm.Print_Titles" localSheetId="13">'Kasım'!$4:$5,'Kasım'!$A:$C</definedName>
    <definedName name="_xlnm.Print_Titles" localSheetId="14">'Aralık'!$4:$5,'Aralık'!$A:$C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;-0.0;;@"/>
    <numFmt numFmtId="165" formatCode="0.0"/>
    <numFmt numFmtId="166" formatCode="#,##0.0"/>
    <numFmt numFmtId="167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1F3864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9"/>
    </font>
    <font>
      <name val="Segoe UI"/>
      <b val="1"/>
      <color rgb="009C5700"/>
      <sz val="9"/>
    </font>
    <font>
      <name val="Segoe UI"/>
      <b val="1"/>
      <color rgb="009C0006"/>
      <sz val="9"/>
    </font>
    <font>
      <name val="Segoe UI"/>
      <b val="1"/>
      <color rgb="00FFFFFF"/>
      <sz val="9"/>
    </font>
    <font>
      <name val="Segoe UI"/>
      <b val="1"/>
      <color rgb="001F3864"/>
      <sz val="10"/>
    </font>
    <font>
      <name val="Segoe UI"/>
      <b val="1"/>
      <sz val="10"/>
    </font>
    <font>
      <name val="Segoe UI"/>
      <b val="1"/>
      <color rgb="002E75B6"/>
      <sz val="9"/>
    </font>
    <font>
      <name val="Segoe UI"/>
      <b val="1"/>
      <color rgb="001F3864"/>
      <sz val="16"/>
    </font>
    <font>
      <name val="Segoe UI"/>
      <b val="1"/>
      <color rgb="00C00000"/>
      <sz val="1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3F7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B6B85"/>
      </patternFill>
    </fill>
    <fill>
      <patternFill patternType="solid">
        <fgColor rgb="00E7E9E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1F3864"/>
      </left>
      <right style="thin">
        <color rgb="00B4C6E7"/>
      </right>
      <top style="thin">
        <color rgb="00B4C6E7"/>
      </top>
      <bottom style="thin">
        <color rgb="00B4C6E7"/>
      </bottom>
    </border>
    <border/>
    <border>
      <top style="medium">
        <color rgb="001F3864"/>
      </top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3864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0" fillId="11" borderId="4" pivotButton="0" quotePrefix="0" xfId="0"/>
    <xf numFmtId="1" fontId="12" fillId="11" borderId="3" applyAlignment="1" pivotButton="0" quotePrefix="0" xfId="0">
      <alignment horizontal="center" vertical="center" wrapText="1"/>
    </xf>
    <xf numFmtId="0" fontId="0" fillId="11" borderId="0" pivotButton="0" quotePrefix="0" xfId="0"/>
    <xf numFmtId="166" fontId="12" fillId="11" borderId="3" applyAlignment="1" pivotButton="0" quotePrefix="0" xfId="0">
      <alignment horizontal="center" vertical="center" wrapText="1"/>
    </xf>
    <xf numFmtId="3" fontId="12" fillId="11" borderId="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165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0" fontId="9" fillId="11" borderId="5" applyAlignment="1" pivotButton="0" quotePrefix="0" xfId="0">
      <alignment horizontal="center" vertical="center" wrapText="1"/>
    </xf>
    <xf numFmtId="0" fontId="9" fillId="11" borderId="5" applyAlignment="1" pivotButton="0" quotePrefix="0" xfId="0">
      <alignment horizontal="left" vertical="center" indent="1"/>
    </xf>
    <xf numFmtId="165" fontId="9" fillId="11" borderId="5" applyAlignment="1" pivotButton="0" quotePrefix="0" xfId="0">
      <alignment horizontal="center" vertical="center" wrapText="1"/>
    </xf>
    <xf numFmtId="1" fontId="9" fillId="11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3" fillId="12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indent="1"/>
    </xf>
    <xf numFmtId="49" fontId="4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indent="1"/>
    </xf>
    <xf numFmtId="167" fontId="4" fillId="4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indent="1"/>
    </xf>
    <xf numFmtId="167" fontId="4" fillId="5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7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49" fontId="10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" fontId="9" fillId="11" borderId="2" applyAlignment="1" pivotButton="0" quotePrefix="0" xfId="0">
      <alignment horizontal="center" vertical="center" wrapText="1"/>
    </xf>
    <xf numFmtId="1" fontId="9" fillId="11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C00000"/>
      </font>
      <fill>
        <patternFill patternType="solid">
          <fgColor rgb="00FFF2CC"/>
          <bgColor rgb="00FFF2C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0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2026 YILI PERSONEL PUANTAJ VE MESAİ İCMAL RAPORU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Bu sayfadaki tüm değerler aylık puantaj sayfalarına bağlı formüllerdir; elle değer girmeyiniz. Devamsızlık = '-' (gelmediği gün) sayısı.</t>
        </is>
      </c>
    </row>
    <row r="4" ht="20" customHeight="1">
      <c r="A4" s="4" t="inlineStr">
        <is>
          <t>TOPLAM PERSONEL</t>
        </is>
      </c>
      <c r="B4" s="5" t="n"/>
      <c r="C4" s="4" t="inlineStr">
        <is>
          <t>TOPLAM ÇALIŞILAN GÜN</t>
        </is>
      </c>
      <c r="D4" s="5" t="n"/>
      <c r="E4" s="4" t="inlineStr">
        <is>
          <t>TOPLAM DEVAMSIZLIK</t>
        </is>
      </c>
      <c r="F4" s="4" t="inlineStr">
        <is>
          <t>TOPLAM MESAİ (SAAT)</t>
        </is>
      </c>
      <c r="G4" s="5" t="n"/>
    </row>
    <row r="5" ht="30" customHeight="1">
      <c r="A5" s="6">
        <f>COUNTA(Personel_Listesi!A5:A19)</f>
        <v/>
      </c>
      <c r="B5" s="7" t="n"/>
      <c r="C5" s="8">
        <f>SUMIF($D$9:$D$203,"YILLIK TOPLAM",$E$9:$E$203)</f>
        <v/>
      </c>
      <c r="D5" s="7" t="n"/>
      <c r="E5" s="9">
        <f>SUMIF($D$9:$D$203,"YILLIK TOPLAM",$F$9:$F$203)</f>
        <v/>
      </c>
      <c r="F5" s="8">
        <f>SUMIF($D$9:$D$203,"YILLIK TOPLAM",$G$9:$G$203)</f>
        <v/>
      </c>
      <c r="G5" s="7" t="n"/>
    </row>
    <row r="7" ht="28" customHeight="1">
      <c r="A7" s="10" t="inlineStr">
        <is>
          <t>Sicil No</t>
        </is>
      </c>
      <c r="B7" s="10" t="inlineStr">
        <is>
          <t>Ad Soyad</t>
        </is>
      </c>
      <c r="C7" s="10" t="inlineStr">
        <is>
          <t>Departman</t>
        </is>
      </c>
      <c r="D7" s="10" t="inlineStr">
        <is>
          <t>Ay</t>
        </is>
      </c>
      <c r="E7" s="10" t="inlineStr">
        <is>
          <t>Toplam Çalışılan Gün</t>
        </is>
      </c>
      <c r="F7" s="10" t="inlineStr">
        <is>
          <t>Toplam Devamsızlık</t>
        </is>
      </c>
      <c r="G7" s="10" t="inlineStr">
        <is>
          <t>Toplam Mesai (Saat)</t>
        </is>
      </c>
    </row>
    <row r="8" ht="4" customHeight="1"/>
    <row r="9">
      <c r="A9" s="11">
        <f>'Ocak'!$A$6</f>
        <v/>
      </c>
      <c r="B9" s="12">
        <f>'Ocak'!$B$6</f>
        <v/>
      </c>
      <c r="C9" s="11">
        <f>'Ocak'!$C$6</f>
        <v/>
      </c>
      <c r="D9" s="11">
        <f>IF('Ocak'!$A$6="","","Ocak")</f>
        <v/>
      </c>
      <c r="E9" s="13">
        <f>'Ocak'!$BQ$6</f>
        <v/>
      </c>
      <c r="F9" s="14">
        <f>'Ocak'!$BP$6</f>
        <v/>
      </c>
      <c r="G9" s="13">
        <f>'Ocak'!$BR$6</f>
        <v/>
      </c>
    </row>
    <row r="10">
      <c r="A10" s="15">
        <f>'Şubat'!$A$6</f>
        <v/>
      </c>
      <c r="B10" s="16">
        <f>'Şubat'!$B$6</f>
        <v/>
      </c>
      <c r="C10" s="15">
        <f>'Şubat'!$C$6</f>
        <v/>
      </c>
      <c r="D10" s="15">
        <f>IF('Şubat'!$A$6="","","Şubat")</f>
        <v/>
      </c>
      <c r="E10" s="17">
        <f>'Şubat'!$BK$6</f>
        <v/>
      </c>
      <c r="F10" s="18">
        <f>'Şubat'!$BJ$6</f>
        <v/>
      </c>
      <c r="G10" s="17">
        <f>'Şubat'!$BL$6</f>
        <v/>
      </c>
    </row>
    <row r="11">
      <c r="A11" s="11">
        <f>'Mart'!$A$6</f>
        <v/>
      </c>
      <c r="B11" s="12">
        <f>'Mart'!$B$6</f>
        <v/>
      </c>
      <c r="C11" s="11">
        <f>'Mart'!$C$6</f>
        <v/>
      </c>
      <c r="D11" s="11">
        <f>IF('Mart'!$A$6="","","Mart")</f>
        <v/>
      </c>
      <c r="E11" s="13">
        <f>'Mart'!$BQ$6</f>
        <v/>
      </c>
      <c r="F11" s="14">
        <f>'Mart'!$BP$6</f>
        <v/>
      </c>
      <c r="G11" s="13">
        <f>'Mart'!$BR$6</f>
        <v/>
      </c>
    </row>
    <row r="12">
      <c r="A12" s="15">
        <f>'Nisan'!$A$6</f>
        <v/>
      </c>
      <c r="B12" s="16">
        <f>'Nisan'!$B$6</f>
        <v/>
      </c>
      <c r="C12" s="15">
        <f>'Nisan'!$C$6</f>
        <v/>
      </c>
      <c r="D12" s="15">
        <f>IF('Nisan'!$A$6="","","Nisan")</f>
        <v/>
      </c>
      <c r="E12" s="17">
        <f>'Nisan'!$BO$6</f>
        <v/>
      </c>
      <c r="F12" s="18">
        <f>'Nisan'!$BN$6</f>
        <v/>
      </c>
      <c r="G12" s="17">
        <f>'Nisan'!$BP$6</f>
        <v/>
      </c>
    </row>
    <row r="13">
      <c r="A13" s="11">
        <f>'Mayıs'!$A$6</f>
        <v/>
      </c>
      <c r="B13" s="12">
        <f>'Mayıs'!$B$6</f>
        <v/>
      </c>
      <c r="C13" s="11">
        <f>'Mayıs'!$C$6</f>
        <v/>
      </c>
      <c r="D13" s="11">
        <f>IF('Mayıs'!$A$6="","","Mayıs")</f>
        <v/>
      </c>
      <c r="E13" s="13">
        <f>'Mayıs'!$BQ$6</f>
        <v/>
      </c>
      <c r="F13" s="14">
        <f>'Mayıs'!$BP$6</f>
        <v/>
      </c>
      <c r="G13" s="13">
        <f>'Mayıs'!$BR$6</f>
        <v/>
      </c>
    </row>
    <row r="14">
      <c r="A14" s="15">
        <f>'Haziran'!$A$6</f>
        <v/>
      </c>
      <c r="B14" s="16">
        <f>'Haziran'!$B$6</f>
        <v/>
      </c>
      <c r="C14" s="15">
        <f>'Haziran'!$C$6</f>
        <v/>
      </c>
      <c r="D14" s="15">
        <f>IF('Haziran'!$A$6="","","Haziran")</f>
        <v/>
      </c>
      <c r="E14" s="17">
        <f>'Haziran'!$BO$6</f>
        <v/>
      </c>
      <c r="F14" s="18">
        <f>'Haziran'!$BN$6</f>
        <v/>
      </c>
      <c r="G14" s="17">
        <f>'Haziran'!$BP$6</f>
        <v/>
      </c>
    </row>
    <row r="15">
      <c r="A15" s="11">
        <f>'Temmuz'!$A$6</f>
        <v/>
      </c>
      <c r="B15" s="12">
        <f>'Temmuz'!$B$6</f>
        <v/>
      </c>
      <c r="C15" s="11">
        <f>'Temmuz'!$C$6</f>
        <v/>
      </c>
      <c r="D15" s="11">
        <f>IF('Temmuz'!$A$6="","","Temmuz")</f>
        <v/>
      </c>
      <c r="E15" s="13">
        <f>'Temmuz'!$BQ$6</f>
        <v/>
      </c>
      <c r="F15" s="14">
        <f>'Temmuz'!$BP$6</f>
        <v/>
      </c>
      <c r="G15" s="13">
        <f>'Temmuz'!$BR$6</f>
        <v/>
      </c>
    </row>
    <row r="16">
      <c r="A16" s="15">
        <f>'Ağustos'!$A$6</f>
        <v/>
      </c>
      <c r="B16" s="16">
        <f>'Ağustos'!$B$6</f>
        <v/>
      </c>
      <c r="C16" s="15">
        <f>'Ağustos'!$C$6</f>
        <v/>
      </c>
      <c r="D16" s="15">
        <f>IF('Ağustos'!$A$6="","","Ağustos")</f>
        <v/>
      </c>
      <c r="E16" s="17">
        <f>'Ağustos'!$BQ$6</f>
        <v/>
      </c>
      <c r="F16" s="18">
        <f>'Ağustos'!$BP$6</f>
        <v/>
      </c>
      <c r="G16" s="17">
        <f>'Ağustos'!$BR$6</f>
        <v/>
      </c>
    </row>
    <row r="17">
      <c r="A17" s="11">
        <f>'Eylül'!$A$6</f>
        <v/>
      </c>
      <c r="B17" s="12">
        <f>'Eylül'!$B$6</f>
        <v/>
      </c>
      <c r="C17" s="11">
        <f>'Eylül'!$C$6</f>
        <v/>
      </c>
      <c r="D17" s="11">
        <f>IF('Eylül'!$A$6="","","Eylül")</f>
        <v/>
      </c>
      <c r="E17" s="13">
        <f>'Eylül'!$BO$6</f>
        <v/>
      </c>
      <c r="F17" s="14">
        <f>'Eylül'!$BN$6</f>
        <v/>
      </c>
      <c r="G17" s="13">
        <f>'Eylül'!$BP$6</f>
        <v/>
      </c>
    </row>
    <row r="18">
      <c r="A18" s="15">
        <f>'Ekim'!$A$6</f>
        <v/>
      </c>
      <c r="B18" s="16">
        <f>'Ekim'!$B$6</f>
        <v/>
      </c>
      <c r="C18" s="15">
        <f>'Ekim'!$C$6</f>
        <v/>
      </c>
      <c r="D18" s="15">
        <f>IF('Ekim'!$A$6="","","Ekim")</f>
        <v/>
      </c>
      <c r="E18" s="17">
        <f>'Ekim'!$BQ$6</f>
        <v/>
      </c>
      <c r="F18" s="18">
        <f>'Ekim'!$BP$6</f>
        <v/>
      </c>
      <c r="G18" s="17">
        <f>'Ekim'!$BR$6</f>
        <v/>
      </c>
    </row>
    <row r="19">
      <c r="A19" s="11">
        <f>'Kasım'!$A$6</f>
        <v/>
      </c>
      <c r="B19" s="12">
        <f>'Kasım'!$B$6</f>
        <v/>
      </c>
      <c r="C19" s="11">
        <f>'Kasım'!$C$6</f>
        <v/>
      </c>
      <c r="D19" s="11">
        <f>IF('Kasım'!$A$6="","","Kasım")</f>
        <v/>
      </c>
      <c r="E19" s="13">
        <f>'Kasım'!$BO$6</f>
        <v/>
      </c>
      <c r="F19" s="14">
        <f>'Kasım'!$BN$6</f>
        <v/>
      </c>
      <c r="G19" s="13">
        <f>'Kasım'!$BP$6</f>
        <v/>
      </c>
    </row>
    <row r="20">
      <c r="A20" s="15">
        <f>'Aralık'!$A$6</f>
        <v/>
      </c>
      <c r="B20" s="16">
        <f>'Aralık'!$B$6</f>
        <v/>
      </c>
      <c r="C20" s="15">
        <f>'Aralık'!$C$6</f>
        <v/>
      </c>
      <c r="D20" s="15">
        <f>IF('Aralık'!$A$6="","","Aralık")</f>
        <v/>
      </c>
      <c r="E20" s="17">
        <f>'Aralık'!$BQ$6</f>
        <v/>
      </c>
      <c r="F20" s="18">
        <f>'Aralık'!$BP$6</f>
        <v/>
      </c>
      <c r="G20" s="17">
        <f>'Aralık'!$BR$6</f>
        <v/>
      </c>
    </row>
    <row r="21" ht="20" customHeight="1">
      <c r="A21" s="19">
        <f>$A$9</f>
        <v/>
      </c>
      <c r="B21" s="20">
        <f>$B$9</f>
        <v/>
      </c>
      <c r="C21" s="19">
        <f>$C$9</f>
        <v/>
      </c>
      <c r="D21" s="19">
        <f>IF($A$9="","","YILLIK TOPLAM")</f>
        <v/>
      </c>
      <c r="E21" s="21">
        <f>IF($A$9="","",SUM(E9:E20))</f>
        <v/>
      </c>
      <c r="F21" s="22">
        <f>IF($A$9="","",SUM(F9:F20))</f>
        <v/>
      </c>
      <c r="G21" s="21">
        <f>IF($A$9="","",SUM(G9:G20))</f>
        <v/>
      </c>
    </row>
    <row r="22">
      <c r="A22" s="11">
        <f>'Ocak'!$A$7</f>
        <v/>
      </c>
      <c r="B22" s="12">
        <f>'Ocak'!$B$7</f>
        <v/>
      </c>
      <c r="C22" s="11">
        <f>'Ocak'!$C$7</f>
        <v/>
      </c>
      <c r="D22" s="11">
        <f>IF('Ocak'!$A$7="","","Ocak")</f>
        <v/>
      </c>
      <c r="E22" s="13">
        <f>'Ocak'!$BQ$7</f>
        <v/>
      </c>
      <c r="F22" s="14">
        <f>'Ocak'!$BP$7</f>
        <v/>
      </c>
      <c r="G22" s="13">
        <f>'Ocak'!$BR$7</f>
        <v/>
      </c>
    </row>
    <row r="23">
      <c r="A23" s="15">
        <f>'Şubat'!$A$7</f>
        <v/>
      </c>
      <c r="B23" s="16">
        <f>'Şubat'!$B$7</f>
        <v/>
      </c>
      <c r="C23" s="15">
        <f>'Şubat'!$C$7</f>
        <v/>
      </c>
      <c r="D23" s="15">
        <f>IF('Şubat'!$A$7="","","Şubat")</f>
        <v/>
      </c>
      <c r="E23" s="17">
        <f>'Şubat'!$BK$7</f>
        <v/>
      </c>
      <c r="F23" s="18">
        <f>'Şubat'!$BJ$7</f>
        <v/>
      </c>
      <c r="G23" s="17">
        <f>'Şubat'!$BL$7</f>
        <v/>
      </c>
    </row>
    <row r="24">
      <c r="A24" s="11">
        <f>'Mart'!$A$7</f>
        <v/>
      </c>
      <c r="B24" s="12">
        <f>'Mart'!$B$7</f>
        <v/>
      </c>
      <c r="C24" s="11">
        <f>'Mart'!$C$7</f>
        <v/>
      </c>
      <c r="D24" s="11">
        <f>IF('Mart'!$A$7="","","Mart")</f>
        <v/>
      </c>
      <c r="E24" s="13">
        <f>'Mart'!$BQ$7</f>
        <v/>
      </c>
      <c r="F24" s="14">
        <f>'Mart'!$BP$7</f>
        <v/>
      </c>
      <c r="G24" s="13">
        <f>'Mart'!$BR$7</f>
        <v/>
      </c>
    </row>
    <row r="25">
      <c r="A25" s="15">
        <f>'Nisan'!$A$7</f>
        <v/>
      </c>
      <c r="B25" s="16">
        <f>'Nisan'!$B$7</f>
        <v/>
      </c>
      <c r="C25" s="15">
        <f>'Nisan'!$C$7</f>
        <v/>
      </c>
      <c r="D25" s="15">
        <f>IF('Nisan'!$A$7="","","Nisan")</f>
        <v/>
      </c>
      <c r="E25" s="17">
        <f>'Nisan'!$BO$7</f>
        <v/>
      </c>
      <c r="F25" s="18">
        <f>'Nisan'!$BN$7</f>
        <v/>
      </c>
      <c r="G25" s="17">
        <f>'Nisan'!$BP$7</f>
        <v/>
      </c>
    </row>
    <row r="26">
      <c r="A26" s="11">
        <f>'Mayıs'!$A$7</f>
        <v/>
      </c>
      <c r="B26" s="12">
        <f>'Mayıs'!$B$7</f>
        <v/>
      </c>
      <c r="C26" s="11">
        <f>'Mayıs'!$C$7</f>
        <v/>
      </c>
      <c r="D26" s="11">
        <f>IF('Mayıs'!$A$7="","","Mayıs")</f>
        <v/>
      </c>
      <c r="E26" s="13">
        <f>'Mayıs'!$BQ$7</f>
        <v/>
      </c>
      <c r="F26" s="14">
        <f>'Mayıs'!$BP$7</f>
        <v/>
      </c>
      <c r="G26" s="13">
        <f>'Mayıs'!$BR$7</f>
        <v/>
      </c>
    </row>
    <row r="27">
      <c r="A27" s="15">
        <f>'Haziran'!$A$7</f>
        <v/>
      </c>
      <c r="B27" s="16">
        <f>'Haziran'!$B$7</f>
        <v/>
      </c>
      <c r="C27" s="15">
        <f>'Haziran'!$C$7</f>
        <v/>
      </c>
      <c r="D27" s="15">
        <f>IF('Haziran'!$A$7="","","Haziran")</f>
        <v/>
      </c>
      <c r="E27" s="17">
        <f>'Haziran'!$BO$7</f>
        <v/>
      </c>
      <c r="F27" s="18">
        <f>'Haziran'!$BN$7</f>
        <v/>
      </c>
      <c r="G27" s="17">
        <f>'Haziran'!$BP$7</f>
        <v/>
      </c>
    </row>
    <row r="28">
      <c r="A28" s="11">
        <f>'Temmuz'!$A$7</f>
        <v/>
      </c>
      <c r="B28" s="12">
        <f>'Temmuz'!$B$7</f>
        <v/>
      </c>
      <c r="C28" s="11">
        <f>'Temmuz'!$C$7</f>
        <v/>
      </c>
      <c r="D28" s="11">
        <f>IF('Temmuz'!$A$7="","","Temmuz")</f>
        <v/>
      </c>
      <c r="E28" s="13">
        <f>'Temmuz'!$BQ$7</f>
        <v/>
      </c>
      <c r="F28" s="14">
        <f>'Temmuz'!$BP$7</f>
        <v/>
      </c>
      <c r="G28" s="13">
        <f>'Temmuz'!$BR$7</f>
        <v/>
      </c>
    </row>
    <row r="29">
      <c r="A29" s="15">
        <f>'Ağustos'!$A$7</f>
        <v/>
      </c>
      <c r="B29" s="16">
        <f>'Ağustos'!$B$7</f>
        <v/>
      </c>
      <c r="C29" s="15">
        <f>'Ağustos'!$C$7</f>
        <v/>
      </c>
      <c r="D29" s="15">
        <f>IF('Ağustos'!$A$7="","","Ağustos")</f>
        <v/>
      </c>
      <c r="E29" s="17">
        <f>'Ağustos'!$BQ$7</f>
        <v/>
      </c>
      <c r="F29" s="18">
        <f>'Ağustos'!$BP$7</f>
        <v/>
      </c>
      <c r="G29" s="17">
        <f>'Ağustos'!$BR$7</f>
        <v/>
      </c>
    </row>
    <row r="30">
      <c r="A30" s="11">
        <f>'Eylül'!$A$7</f>
        <v/>
      </c>
      <c r="B30" s="12">
        <f>'Eylül'!$B$7</f>
        <v/>
      </c>
      <c r="C30" s="11">
        <f>'Eylül'!$C$7</f>
        <v/>
      </c>
      <c r="D30" s="11">
        <f>IF('Eylül'!$A$7="","","Eylül")</f>
        <v/>
      </c>
      <c r="E30" s="13">
        <f>'Eylül'!$BO$7</f>
        <v/>
      </c>
      <c r="F30" s="14">
        <f>'Eylül'!$BN$7</f>
        <v/>
      </c>
      <c r="G30" s="13">
        <f>'Eylül'!$BP$7</f>
        <v/>
      </c>
    </row>
    <row r="31">
      <c r="A31" s="15">
        <f>'Ekim'!$A$7</f>
        <v/>
      </c>
      <c r="B31" s="16">
        <f>'Ekim'!$B$7</f>
        <v/>
      </c>
      <c r="C31" s="15">
        <f>'Ekim'!$C$7</f>
        <v/>
      </c>
      <c r="D31" s="15">
        <f>IF('Ekim'!$A$7="","","Ekim")</f>
        <v/>
      </c>
      <c r="E31" s="17">
        <f>'Ekim'!$BQ$7</f>
        <v/>
      </c>
      <c r="F31" s="18">
        <f>'Ekim'!$BP$7</f>
        <v/>
      </c>
      <c r="G31" s="17">
        <f>'Ekim'!$BR$7</f>
        <v/>
      </c>
    </row>
    <row r="32">
      <c r="A32" s="11">
        <f>'Kasım'!$A$7</f>
        <v/>
      </c>
      <c r="B32" s="12">
        <f>'Kasım'!$B$7</f>
        <v/>
      </c>
      <c r="C32" s="11">
        <f>'Kasım'!$C$7</f>
        <v/>
      </c>
      <c r="D32" s="11">
        <f>IF('Kasım'!$A$7="","","Kasım")</f>
        <v/>
      </c>
      <c r="E32" s="13">
        <f>'Kasım'!$BO$7</f>
        <v/>
      </c>
      <c r="F32" s="14">
        <f>'Kasım'!$BN$7</f>
        <v/>
      </c>
      <c r="G32" s="13">
        <f>'Kasım'!$BP$7</f>
        <v/>
      </c>
    </row>
    <row r="33">
      <c r="A33" s="15">
        <f>'Aralık'!$A$7</f>
        <v/>
      </c>
      <c r="B33" s="16">
        <f>'Aralık'!$B$7</f>
        <v/>
      </c>
      <c r="C33" s="15">
        <f>'Aralık'!$C$7</f>
        <v/>
      </c>
      <c r="D33" s="15">
        <f>IF('Aralık'!$A$7="","","Aralık")</f>
        <v/>
      </c>
      <c r="E33" s="17">
        <f>'Aralık'!$BQ$7</f>
        <v/>
      </c>
      <c r="F33" s="18">
        <f>'Aralık'!$BP$7</f>
        <v/>
      </c>
      <c r="G33" s="17">
        <f>'Aralık'!$BR$7</f>
        <v/>
      </c>
    </row>
    <row r="34" ht="20" customHeight="1">
      <c r="A34" s="19">
        <f>$A$22</f>
        <v/>
      </c>
      <c r="B34" s="20">
        <f>$B$22</f>
        <v/>
      </c>
      <c r="C34" s="19">
        <f>$C$22</f>
        <v/>
      </c>
      <c r="D34" s="19">
        <f>IF($A$22="","","YILLIK TOPLAM")</f>
        <v/>
      </c>
      <c r="E34" s="21">
        <f>IF($A$22="","",SUM(E22:E33))</f>
        <v/>
      </c>
      <c r="F34" s="22">
        <f>IF($A$22="","",SUM(F22:F33))</f>
        <v/>
      </c>
      <c r="G34" s="21">
        <f>IF($A$22="","",SUM(G22:G33))</f>
        <v/>
      </c>
    </row>
    <row r="35">
      <c r="A35" s="11">
        <f>'Ocak'!$A$8</f>
        <v/>
      </c>
      <c r="B35" s="12">
        <f>'Ocak'!$B$8</f>
        <v/>
      </c>
      <c r="C35" s="11">
        <f>'Ocak'!$C$8</f>
        <v/>
      </c>
      <c r="D35" s="11">
        <f>IF('Ocak'!$A$8="","","Ocak")</f>
        <v/>
      </c>
      <c r="E35" s="13">
        <f>'Ocak'!$BQ$8</f>
        <v/>
      </c>
      <c r="F35" s="14">
        <f>'Ocak'!$BP$8</f>
        <v/>
      </c>
      <c r="G35" s="13">
        <f>'Ocak'!$BR$8</f>
        <v/>
      </c>
    </row>
    <row r="36">
      <c r="A36" s="15">
        <f>'Şubat'!$A$8</f>
        <v/>
      </c>
      <c r="B36" s="16">
        <f>'Şubat'!$B$8</f>
        <v/>
      </c>
      <c r="C36" s="15">
        <f>'Şubat'!$C$8</f>
        <v/>
      </c>
      <c r="D36" s="15">
        <f>IF('Şubat'!$A$8="","","Şubat")</f>
        <v/>
      </c>
      <c r="E36" s="17">
        <f>'Şubat'!$BK$8</f>
        <v/>
      </c>
      <c r="F36" s="18">
        <f>'Şubat'!$BJ$8</f>
        <v/>
      </c>
      <c r="G36" s="17">
        <f>'Şubat'!$BL$8</f>
        <v/>
      </c>
    </row>
    <row r="37">
      <c r="A37" s="11">
        <f>'Mart'!$A$8</f>
        <v/>
      </c>
      <c r="B37" s="12">
        <f>'Mart'!$B$8</f>
        <v/>
      </c>
      <c r="C37" s="11">
        <f>'Mart'!$C$8</f>
        <v/>
      </c>
      <c r="D37" s="11">
        <f>IF('Mart'!$A$8="","","Mart")</f>
        <v/>
      </c>
      <c r="E37" s="13">
        <f>'Mart'!$BQ$8</f>
        <v/>
      </c>
      <c r="F37" s="14">
        <f>'Mart'!$BP$8</f>
        <v/>
      </c>
      <c r="G37" s="13">
        <f>'Mart'!$BR$8</f>
        <v/>
      </c>
    </row>
    <row r="38">
      <c r="A38" s="15">
        <f>'Nisan'!$A$8</f>
        <v/>
      </c>
      <c r="B38" s="16">
        <f>'Nisan'!$B$8</f>
        <v/>
      </c>
      <c r="C38" s="15">
        <f>'Nisan'!$C$8</f>
        <v/>
      </c>
      <c r="D38" s="15">
        <f>IF('Nisan'!$A$8="","","Nisan")</f>
        <v/>
      </c>
      <c r="E38" s="17">
        <f>'Nisan'!$BO$8</f>
        <v/>
      </c>
      <c r="F38" s="18">
        <f>'Nisan'!$BN$8</f>
        <v/>
      </c>
      <c r="G38" s="17">
        <f>'Nisan'!$BP$8</f>
        <v/>
      </c>
    </row>
    <row r="39">
      <c r="A39" s="11">
        <f>'Mayıs'!$A$8</f>
        <v/>
      </c>
      <c r="B39" s="12">
        <f>'Mayıs'!$B$8</f>
        <v/>
      </c>
      <c r="C39" s="11">
        <f>'Mayıs'!$C$8</f>
        <v/>
      </c>
      <c r="D39" s="11">
        <f>IF('Mayıs'!$A$8="","","Mayıs")</f>
        <v/>
      </c>
      <c r="E39" s="13">
        <f>'Mayıs'!$BQ$8</f>
        <v/>
      </c>
      <c r="F39" s="14">
        <f>'Mayıs'!$BP$8</f>
        <v/>
      </c>
      <c r="G39" s="13">
        <f>'Mayıs'!$BR$8</f>
        <v/>
      </c>
    </row>
    <row r="40">
      <c r="A40" s="15">
        <f>'Haziran'!$A$8</f>
        <v/>
      </c>
      <c r="B40" s="16">
        <f>'Haziran'!$B$8</f>
        <v/>
      </c>
      <c r="C40" s="15">
        <f>'Haziran'!$C$8</f>
        <v/>
      </c>
      <c r="D40" s="15">
        <f>IF('Haziran'!$A$8="","","Haziran")</f>
        <v/>
      </c>
      <c r="E40" s="17">
        <f>'Haziran'!$BO$8</f>
        <v/>
      </c>
      <c r="F40" s="18">
        <f>'Haziran'!$BN$8</f>
        <v/>
      </c>
      <c r="G40" s="17">
        <f>'Haziran'!$BP$8</f>
        <v/>
      </c>
    </row>
    <row r="41">
      <c r="A41" s="11">
        <f>'Temmuz'!$A$8</f>
        <v/>
      </c>
      <c r="B41" s="12">
        <f>'Temmuz'!$B$8</f>
        <v/>
      </c>
      <c r="C41" s="11">
        <f>'Temmuz'!$C$8</f>
        <v/>
      </c>
      <c r="D41" s="11">
        <f>IF('Temmuz'!$A$8="","","Temmuz")</f>
        <v/>
      </c>
      <c r="E41" s="13">
        <f>'Temmuz'!$BQ$8</f>
        <v/>
      </c>
      <c r="F41" s="14">
        <f>'Temmuz'!$BP$8</f>
        <v/>
      </c>
      <c r="G41" s="13">
        <f>'Temmuz'!$BR$8</f>
        <v/>
      </c>
    </row>
    <row r="42">
      <c r="A42" s="15">
        <f>'Ağustos'!$A$8</f>
        <v/>
      </c>
      <c r="B42" s="16">
        <f>'Ağustos'!$B$8</f>
        <v/>
      </c>
      <c r="C42" s="15">
        <f>'Ağustos'!$C$8</f>
        <v/>
      </c>
      <c r="D42" s="15">
        <f>IF('Ağustos'!$A$8="","","Ağustos")</f>
        <v/>
      </c>
      <c r="E42" s="17">
        <f>'Ağustos'!$BQ$8</f>
        <v/>
      </c>
      <c r="F42" s="18">
        <f>'Ağustos'!$BP$8</f>
        <v/>
      </c>
      <c r="G42" s="17">
        <f>'Ağustos'!$BR$8</f>
        <v/>
      </c>
    </row>
    <row r="43">
      <c r="A43" s="11">
        <f>'Eylül'!$A$8</f>
        <v/>
      </c>
      <c r="B43" s="12">
        <f>'Eylül'!$B$8</f>
        <v/>
      </c>
      <c r="C43" s="11">
        <f>'Eylül'!$C$8</f>
        <v/>
      </c>
      <c r="D43" s="11">
        <f>IF('Eylül'!$A$8="","","Eylül")</f>
        <v/>
      </c>
      <c r="E43" s="13">
        <f>'Eylül'!$BO$8</f>
        <v/>
      </c>
      <c r="F43" s="14">
        <f>'Eylül'!$BN$8</f>
        <v/>
      </c>
      <c r="G43" s="13">
        <f>'Eylül'!$BP$8</f>
        <v/>
      </c>
    </row>
    <row r="44">
      <c r="A44" s="15">
        <f>'Ekim'!$A$8</f>
        <v/>
      </c>
      <c r="B44" s="16">
        <f>'Ekim'!$B$8</f>
        <v/>
      </c>
      <c r="C44" s="15">
        <f>'Ekim'!$C$8</f>
        <v/>
      </c>
      <c r="D44" s="15">
        <f>IF('Ekim'!$A$8="","","Ekim")</f>
        <v/>
      </c>
      <c r="E44" s="17">
        <f>'Ekim'!$BQ$8</f>
        <v/>
      </c>
      <c r="F44" s="18">
        <f>'Ekim'!$BP$8</f>
        <v/>
      </c>
      <c r="G44" s="17">
        <f>'Ekim'!$BR$8</f>
        <v/>
      </c>
    </row>
    <row r="45">
      <c r="A45" s="11">
        <f>'Kasım'!$A$8</f>
        <v/>
      </c>
      <c r="B45" s="12">
        <f>'Kasım'!$B$8</f>
        <v/>
      </c>
      <c r="C45" s="11">
        <f>'Kasım'!$C$8</f>
        <v/>
      </c>
      <c r="D45" s="11">
        <f>IF('Kasım'!$A$8="","","Kasım")</f>
        <v/>
      </c>
      <c r="E45" s="13">
        <f>'Kasım'!$BO$8</f>
        <v/>
      </c>
      <c r="F45" s="14">
        <f>'Kasım'!$BN$8</f>
        <v/>
      </c>
      <c r="G45" s="13">
        <f>'Kasım'!$BP$8</f>
        <v/>
      </c>
    </row>
    <row r="46">
      <c r="A46" s="15">
        <f>'Aralık'!$A$8</f>
        <v/>
      </c>
      <c r="B46" s="16">
        <f>'Aralık'!$B$8</f>
        <v/>
      </c>
      <c r="C46" s="15">
        <f>'Aralık'!$C$8</f>
        <v/>
      </c>
      <c r="D46" s="15">
        <f>IF('Aralık'!$A$8="","","Aralık")</f>
        <v/>
      </c>
      <c r="E46" s="17">
        <f>'Aralık'!$BQ$8</f>
        <v/>
      </c>
      <c r="F46" s="18">
        <f>'Aralık'!$BP$8</f>
        <v/>
      </c>
      <c r="G46" s="17">
        <f>'Aralık'!$BR$8</f>
        <v/>
      </c>
    </row>
    <row r="47" ht="20" customHeight="1">
      <c r="A47" s="19">
        <f>$A$35</f>
        <v/>
      </c>
      <c r="B47" s="20">
        <f>$B$35</f>
        <v/>
      </c>
      <c r="C47" s="19">
        <f>$C$35</f>
        <v/>
      </c>
      <c r="D47" s="19">
        <f>IF($A$35="","","YILLIK TOPLAM")</f>
        <v/>
      </c>
      <c r="E47" s="21">
        <f>IF($A$35="","",SUM(E35:E46))</f>
        <v/>
      </c>
      <c r="F47" s="22">
        <f>IF($A$35="","",SUM(F35:F46))</f>
        <v/>
      </c>
      <c r="G47" s="21">
        <f>IF($A$35="","",SUM(G35:G46))</f>
        <v/>
      </c>
    </row>
    <row r="48">
      <c r="A48" s="11">
        <f>'Ocak'!$A$9</f>
        <v/>
      </c>
      <c r="B48" s="12">
        <f>'Ocak'!$B$9</f>
        <v/>
      </c>
      <c r="C48" s="11">
        <f>'Ocak'!$C$9</f>
        <v/>
      </c>
      <c r="D48" s="11">
        <f>IF('Ocak'!$A$9="","","Ocak")</f>
        <v/>
      </c>
      <c r="E48" s="13">
        <f>'Ocak'!$BQ$9</f>
        <v/>
      </c>
      <c r="F48" s="14">
        <f>'Ocak'!$BP$9</f>
        <v/>
      </c>
      <c r="G48" s="13">
        <f>'Ocak'!$BR$9</f>
        <v/>
      </c>
    </row>
    <row r="49">
      <c r="A49" s="15">
        <f>'Şubat'!$A$9</f>
        <v/>
      </c>
      <c r="B49" s="16">
        <f>'Şubat'!$B$9</f>
        <v/>
      </c>
      <c r="C49" s="15">
        <f>'Şubat'!$C$9</f>
        <v/>
      </c>
      <c r="D49" s="15">
        <f>IF('Şubat'!$A$9="","","Şubat")</f>
        <v/>
      </c>
      <c r="E49" s="17">
        <f>'Şubat'!$BK$9</f>
        <v/>
      </c>
      <c r="F49" s="18">
        <f>'Şubat'!$BJ$9</f>
        <v/>
      </c>
      <c r="G49" s="17">
        <f>'Şubat'!$BL$9</f>
        <v/>
      </c>
    </row>
    <row r="50">
      <c r="A50" s="11">
        <f>'Mart'!$A$9</f>
        <v/>
      </c>
      <c r="B50" s="12">
        <f>'Mart'!$B$9</f>
        <v/>
      </c>
      <c r="C50" s="11">
        <f>'Mart'!$C$9</f>
        <v/>
      </c>
      <c r="D50" s="11">
        <f>IF('Mart'!$A$9="","","Mart")</f>
        <v/>
      </c>
      <c r="E50" s="13">
        <f>'Mart'!$BQ$9</f>
        <v/>
      </c>
      <c r="F50" s="14">
        <f>'Mart'!$BP$9</f>
        <v/>
      </c>
      <c r="G50" s="13">
        <f>'Mart'!$BR$9</f>
        <v/>
      </c>
    </row>
    <row r="51">
      <c r="A51" s="15">
        <f>'Nisan'!$A$9</f>
        <v/>
      </c>
      <c r="B51" s="16">
        <f>'Nisan'!$B$9</f>
        <v/>
      </c>
      <c r="C51" s="15">
        <f>'Nisan'!$C$9</f>
        <v/>
      </c>
      <c r="D51" s="15">
        <f>IF('Nisan'!$A$9="","","Nisan")</f>
        <v/>
      </c>
      <c r="E51" s="17">
        <f>'Nisan'!$BO$9</f>
        <v/>
      </c>
      <c r="F51" s="18">
        <f>'Nisan'!$BN$9</f>
        <v/>
      </c>
      <c r="G51" s="17">
        <f>'Nisan'!$BP$9</f>
        <v/>
      </c>
    </row>
    <row r="52">
      <c r="A52" s="11">
        <f>'Mayıs'!$A$9</f>
        <v/>
      </c>
      <c r="B52" s="12">
        <f>'Mayıs'!$B$9</f>
        <v/>
      </c>
      <c r="C52" s="11">
        <f>'Mayıs'!$C$9</f>
        <v/>
      </c>
      <c r="D52" s="11">
        <f>IF('Mayıs'!$A$9="","","Mayıs")</f>
        <v/>
      </c>
      <c r="E52" s="13">
        <f>'Mayıs'!$BQ$9</f>
        <v/>
      </c>
      <c r="F52" s="14">
        <f>'Mayıs'!$BP$9</f>
        <v/>
      </c>
      <c r="G52" s="13">
        <f>'Mayıs'!$BR$9</f>
        <v/>
      </c>
    </row>
    <row r="53">
      <c r="A53" s="15">
        <f>'Haziran'!$A$9</f>
        <v/>
      </c>
      <c r="B53" s="16">
        <f>'Haziran'!$B$9</f>
        <v/>
      </c>
      <c r="C53" s="15">
        <f>'Haziran'!$C$9</f>
        <v/>
      </c>
      <c r="D53" s="15">
        <f>IF('Haziran'!$A$9="","","Haziran")</f>
        <v/>
      </c>
      <c r="E53" s="17">
        <f>'Haziran'!$BO$9</f>
        <v/>
      </c>
      <c r="F53" s="18">
        <f>'Haziran'!$BN$9</f>
        <v/>
      </c>
      <c r="G53" s="17">
        <f>'Haziran'!$BP$9</f>
        <v/>
      </c>
    </row>
    <row r="54">
      <c r="A54" s="11">
        <f>'Temmuz'!$A$9</f>
        <v/>
      </c>
      <c r="B54" s="12">
        <f>'Temmuz'!$B$9</f>
        <v/>
      </c>
      <c r="C54" s="11">
        <f>'Temmuz'!$C$9</f>
        <v/>
      </c>
      <c r="D54" s="11">
        <f>IF('Temmuz'!$A$9="","","Temmuz")</f>
        <v/>
      </c>
      <c r="E54" s="13">
        <f>'Temmuz'!$BQ$9</f>
        <v/>
      </c>
      <c r="F54" s="14">
        <f>'Temmuz'!$BP$9</f>
        <v/>
      </c>
      <c r="G54" s="13">
        <f>'Temmuz'!$BR$9</f>
        <v/>
      </c>
    </row>
    <row r="55">
      <c r="A55" s="15">
        <f>'Ağustos'!$A$9</f>
        <v/>
      </c>
      <c r="B55" s="16">
        <f>'Ağustos'!$B$9</f>
        <v/>
      </c>
      <c r="C55" s="15">
        <f>'Ağustos'!$C$9</f>
        <v/>
      </c>
      <c r="D55" s="15">
        <f>IF('Ağustos'!$A$9="","","Ağustos")</f>
        <v/>
      </c>
      <c r="E55" s="17">
        <f>'Ağustos'!$BQ$9</f>
        <v/>
      </c>
      <c r="F55" s="18">
        <f>'Ağustos'!$BP$9</f>
        <v/>
      </c>
      <c r="G55" s="17">
        <f>'Ağustos'!$BR$9</f>
        <v/>
      </c>
    </row>
    <row r="56">
      <c r="A56" s="11">
        <f>'Eylül'!$A$9</f>
        <v/>
      </c>
      <c r="B56" s="12">
        <f>'Eylül'!$B$9</f>
        <v/>
      </c>
      <c r="C56" s="11">
        <f>'Eylül'!$C$9</f>
        <v/>
      </c>
      <c r="D56" s="11">
        <f>IF('Eylül'!$A$9="","","Eylül")</f>
        <v/>
      </c>
      <c r="E56" s="13">
        <f>'Eylül'!$BO$9</f>
        <v/>
      </c>
      <c r="F56" s="14">
        <f>'Eylül'!$BN$9</f>
        <v/>
      </c>
      <c r="G56" s="13">
        <f>'Eylül'!$BP$9</f>
        <v/>
      </c>
    </row>
    <row r="57">
      <c r="A57" s="15">
        <f>'Ekim'!$A$9</f>
        <v/>
      </c>
      <c r="B57" s="16">
        <f>'Ekim'!$B$9</f>
        <v/>
      </c>
      <c r="C57" s="15">
        <f>'Ekim'!$C$9</f>
        <v/>
      </c>
      <c r="D57" s="15">
        <f>IF('Ekim'!$A$9="","","Ekim")</f>
        <v/>
      </c>
      <c r="E57" s="17">
        <f>'Ekim'!$BQ$9</f>
        <v/>
      </c>
      <c r="F57" s="18">
        <f>'Ekim'!$BP$9</f>
        <v/>
      </c>
      <c r="G57" s="17">
        <f>'Ekim'!$BR$9</f>
        <v/>
      </c>
    </row>
    <row r="58">
      <c r="A58" s="11">
        <f>'Kasım'!$A$9</f>
        <v/>
      </c>
      <c r="B58" s="12">
        <f>'Kasım'!$B$9</f>
        <v/>
      </c>
      <c r="C58" s="11">
        <f>'Kasım'!$C$9</f>
        <v/>
      </c>
      <c r="D58" s="11">
        <f>IF('Kasım'!$A$9="","","Kasım")</f>
        <v/>
      </c>
      <c r="E58" s="13">
        <f>'Kasım'!$BO$9</f>
        <v/>
      </c>
      <c r="F58" s="14">
        <f>'Kasım'!$BN$9</f>
        <v/>
      </c>
      <c r="G58" s="13">
        <f>'Kasım'!$BP$9</f>
        <v/>
      </c>
    </row>
    <row r="59">
      <c r="A59" s="15">
        <f>'Aralık'!$A$9</f>
        <v/>
      </c>
      <c r="B59" s="16">
        <f>'Aralık'!$B$9</f>
        <v/>
      </c>
      <c r="C59" s="15">
        <f>'Aralık'!$C$9</f>
        <v/>
      </c>
      <c r="D59" s="15">
        <f>IF('Aralık'!$A$9="","","Aralık")</f>
        <v/>
      </c>
      <c r="E59" s="17">
        <f>'Aralık'!$BQ$9</f>
        <v/>
      </c>
      <c r="F59" s="18">
        <f>'Aralık'!$BP$9</f>
        <v/>
      </c>
      <c r="G59" s="17">
        <f>'Aralık'!$BR$9</f>
        <v/>
      </c>
    </row>
    <row r="60" ht="20" customHeight="1">
      <c r="A60" s="19">
        <f>$A$48</f>
        <v/>
      </c>
      <c r="B60" s="20">
        <f>$B$48</f>
        <v/>
      </c>
      <c r="C60" s="19">
        <f>$C$48</f>
        <v/>
      </c>
      <c r="D60" s="19">
        <f>IF($A$48="","","YILLIK TOPLAM")</f>
        <v/>
      </c>
      <c r="E60" s="21">
        <f>IF($A$48="","",SUM(E48:E59))</f>
        <v/>
      </c>
      <c r="F60" s="22">
        <f>IF($A$48="","",SUM(F48:F59))</f>
        <v/>
      </c>
      <c r="G60" s="21">
        <f>IF($A$48="","",SUM(G48:G59))</f>
        <v/>
      </c>
    </row>
    <row r="61">
      <c r="A61" s="11">
        <f>'Ocak'!$A$10</f>
        <v/>
      </c>
      <c r="B61" s="12">
        <f>'Ocak'!$B$10</f>
        <v/>
      </c>
      <c r="C61" s="11">
        <f>'Ocak'!$C$10</f>
        <v/>
      </c>
      <c r="D61" s="11">
        <f>IF('Ocak'!$A$10="","","Ocak")</f>
        <v/>
      </c>
      <c r="E61" s="13">
        <f>'Ocak'!$BQ$10</f>
        <v/>
      </c>
      <c r="F61" s="14">
        <f>'Ocak'!$BP$10</f>
        <v/>
      </c>
      <c r="G61" s="13">
        <f>'Ocak'!$BR$10</f>
        <v/>
      </c>
    </row>
    <row r="62">
      <c r="A62" s="15">
        <f>'Şubat'!$A$10</f>
        <v/>
      </c>
      <c r="B62" s="16">
        <f>'Şubat'!$B$10</f>
        <v/>
      </c>
      <c r="C62" s="15">
        <f>'Şubat'!$C$10</f>
        <v/>
      </c>
      <c r="D62" s="15">
        <f>IF('Şubat'!$A$10="","","Şubat")</f>
        <v/>
      </c>
      <c r="E62" s="17">
        <f>'Şubat'!$BK$10</f>
        <v/>
      </c>
      <c r="F62" s="18">
        <f>'Şubat'!$BJ$10</f>
        <v/>
      </c>
      <c r="G62" s="17">
        <f>'Şubat'!$BL$10</f>
        <v/>
      </c>
    </row>
    <row r="63">
      <c r="A63" s="11">
        <f>'Mart'!$A$10</f>
        <v/>
      </c>
      <c r="B63" s="12">
        <f>'Mart'!$B$10</f>
        <v/>
      </c>
      <c r="C63" s="11">
        <f>'Mart'!$C$10</f>
        <v/>
      </c>
      <c r="D63" s="11">
        <f>IF('Mart'!$A$10="","","Mart")</f>
        <v/>
      </c>
      <c r="E63" s="13">
        <f>'Mart'!$BQ$10</f>
        <v/>
      </c>
      <c r="F63" s="14">
        <f>'Mart'!$BP$10</f>
        <v/>
      </c>
      <c r="G63" s="13">
        <f>'Mart'!$BR$10</f>
        <v/>
      </c>
    </row>
    <row r="64">
      <c r="A64" s="15">
        <f>'Nisan'!$A$10</f>
        <v/>
      </c>
      <c r="B64" s="16">
        <f>'Nisan'!$B$10</f>
        <v/>
      </c>
      <c r="C64" s="15">
        <f>'Nisan'!$C$10</f>
        <v/>
      </c>
      <c r="D64" s="15">
        <f>IF('Nisan'!$A$10="","","Nisan")</f>
        <v/>
      </c>
      <c r="E64" s="17">
        <f>'Nisan'!$BO$10</f>
        <v/>
      </c>
      <c r="F64" s="18">
        <f>'Nisan'!$BN$10</f>
        <v/>
      </c>
      <c r="G64" s="17">
        <f>'Nisan'!$BP$10</f>
        <v/>
      </c>
    </row>
    <row r="65">
      <c r="A65" s="11">
        <f>'Mayıs'!$A$10</f>
        <v/>
      </c>
      <c r="B65" s="12">
        <f>'Mayıs'!$B$10</f>
        <v/>
      </c>
      <c r="C65" s="11">
        <f>'Mayıs'!$C$10</f>
        <v/>
      </c>
      <c r="D65" s="11">
        <f>IF('Mayıs'!$A$10="","","Mayıs")</f>
        <v/>
      </c>
      <c r="E65" s="13">
        <f>'Mayıs'!$BQ$10</f>
        <v/>
      </c>
      <c r="F65" s="14">
        <f>'Mayıs'!$BP$10</f>
        <v/>
      </c>
      <c r="G65" s="13">
        <f>'Mayıs'!$BR$10</f>
        <v/>
      </c>
    </row>
    <row r="66">
      <c r="A66" s="15">
        <f>'Haziran'!$A$10</f>
        <v/>
      </c>
      <c r="B66" s="16">
        <f>'Haziran'!$B$10</f>
        <v/>
      </c>
      <c r="C66" s="15">
        <f>'Haziran'!$C$10</f>
        <v/>
      </c>
      <c r="D66" s="15">
        <f>IF('Haziran'!$A$10="","","Haziran")</f>
        <v/>
      </c>
      <c r="E66" s="17">
        <f>'Haziran'!$BO$10</f>
        <v/>
      </c>
      <c r="F66" s="18">
        <f>'Haziran'!$BN$10</f>
        <v/>
      </c>
      <c r="G66" s="17">
        <f>'Haziran'!$BP$10</f>
        <v/>
      </c>
    </row>
    <row r="67">
      <c r="A67" s="11">
        <f>'Temmuz'!$A$10</f>
        <v/>
      </c>
      <c r="B67" s="12">
        <f>'Temmuz'!$B$10</f>
        <v/>
      </c>
      <c r="C67" s="11">
        <f>'Temmuz'!$C$10</f>
        <v/>
      </c>
      <c r="D67" s="11">
        <f>IF('Temmuz'!$A$10="","","Temmuz")</f>
        <v/>
      </c>
      <c r="E67" s="13">
        <f>'Temmuz'!$BQ$10</f>
        <v/>
      </c>
      <c r="F67" s="14">
        <f>'Temmuz'!$BP$10</f>
        <v/>
      </c>
      <c r="G67" s="13">
        <f>'Temmuz'!$BR$10</f>
        <v/>
      </c>
    </row>
    <row r="68">
      <c r="A68" s="15">
        <f>'Ağustos'!$A$10</f>
        <v/>
      </c>
      <c r="B68" s="16">
        <f>'Ağustos'!$B$10</f>
        <v/>
      </c>
      <c r="C68" s="15">
        <f>'Ağustos'!$C$10</f>
        <v/>
      </c>
      <c r="D68" s="15">
        <f>IF('Ağustos'!$A$10="","","Ağustos")</f>
        <v/>
      </c>
      <c r="E68" s="17">
        <f>'Ağustos'!$BQ$10</f>
        <v/>
      </c>
      <c r="F68" s="18">
        <f>'Ağustos'!$BP$10</f>
        <v/>
      </c>
      <c r="G68" s="17">
        <f>'Ağustos'!$BR$10</f>
        <v/>
      </c>
    </row>
    <row r="69">
      <c r="A69" s="11">
        <f>'Eylül'!$A$10</f>
        <v/>
      </c>
      <c r="B69" s="12">
        <f>'Eylül'!$B$10</f>
        <v/>
      </c>
      <c r="C69" s="11">
        <f>'Eylül'!$C$10</f>
        <v/>
      </c>
      <c r="D69" s="11">
        <f>IF('Eylül'!$A$10="","","Eylül")</f>
        <v/>
      </c>
      <c r="E69" s="13">
        <f>'Eylül'!$BO$10</f>
        <v/>
      </c>
      <c r="F69" s="14">
        <f>'Eylül'!$BN$10</f>
        <v/>
      </c>
      <c r="G69" s="13">
        <f>'Eylül'!$BP$10</f>
        <v/>
      </c>
    </row>
    <row r="70">
      <c r="A70" s="15">
        <f>'Ekim'!$A$10</f>
        <v/>
      </c>
      <c r="B70" s="16">
        <f>'Ekim'!$B$10</f>
        <v/>
      </c>
      <c r="C70" s="15">
        <f>'Ekim'!$C$10</f>
        <v/>
      </c>
      <c r="D70" s="15">
        <f>IF('Ekim'!$A$10="","","Ekim")</f>
        <v/>
      </c>
      <c r="E70" s="17">
        <f>'Ekim'!$BQ$10</f>
        <v/>
      </c>
      <c r="F70" s="18">
        <f>'Ekim'!$BP$10</f>
        <v/>
      </c>
      <c r="G70" s="17">
        <f>'Ekim'!$BR$10</f>
        <v/>
      </c>
    </row>
    <row r="71">
      <c r="A71" s="11">
        <f>'Kasım'!$A$10</f>
        <v/>
      </c>
      <c r="B71" s="12">
        <f>'Kasım'!$B$10</f>
        <v/>
      </c>
      <c r="C71" s="11">
        <f>'Kasım'!$C$10</f>
        <v/>
      </c>
      <c r="D71" s="11">
        <f>IF('Kasım'!$A$10="","","Kasım")</f>
        <v/>
      </c>
      <c r="E71" s="13">
        <f>'Kasım'!$BO$10</f>
        <v/>
      </c>
      <c r="F71" s="14">
        <f>'Kasım'!$BN$10</f>
        <v/>
      </c>
      <c r="G71" s="13">
        <f>'Kasım'!$BP$10</f>
        <v/>
      </c>
    </row>
    <row r="72">
      <c r="A72" s="15">
        <f>'Aralık'!$A$10</f>
        <v/>
      </c>
      <c r="B72" s="16">
        <f>'Aralık'!$B$10</f>
        <v/>
      </c>
      <c r="C72" s="15">
        <f>'Aralık'!$C$10</f>
        <v/>
      </c>
      <c r="D72" s="15">
        <f>IF('Aralık'!$A$10="","","Aralık")</f>
        <v/>
      </c>
      <c r="E72" s="17">
        <f>'Aralık'!$BQ$10</f>
        <v/>
      </c>
      <c r="F72" s="18">
        <f>'Aralık'!$BP$10</f>
        <v/>
      </c>
      <c r="G72" s="17">
        <f>'Aralık'!$BR$10</f>
        <v/>
      </c>
    </row>
    <row r="73" ht="20" customHeight="1">
      <c r="A73" s="19">
        <f>$A$61</f>
        <v/>
      </c>
      <c r="B73" s="20">
        <f>$B$61</f>
        <v/>
      </c>
      <c r="C73" s="19">
        <f>$C$61</f>
        <v/>
      </c>
      <c r="D73" s="19">
        <f>IF($A$61="","","YILLIK TOPLAM")</f>
        <v/>
      </c>
      <c r="E73" s="21">
        <f>IF($A$61="","",SUM(E61:E72))</f>
        <v/>
      </c>
      <c r="F73" s="22">
        <f>IF($A$61="","",SUM(F61:F72))</f>
        <v/>
      </c>
      <c r="G73" s="21">
        <f>IF($A$61="","",SUM(G61:G72))</f>
        <v/>
      </c>
    </row>
    <row r="74">
      <c r="A74" s="11">
        <f>'Ocak'!$A$11</f>
        <v/>
      </c>
      <c r="B74" s="12">
        <f>'Ocak'!$B$11</f>
        <v/>
      </c>
      <c r="C74" s="11">
        <f>'Ocak'!$C$11</f>
        <v/>
      </c>
      <c r="D74" s="11">
        <f>IF('Ocak'!$A$11="","","Ocak")</f>
        <v/>
      </c>
      <c r="E74" s="13">
        <f>'Ocak'!$BQ$11</f>
        <v/>
      </c>
      <c r="F74" s="14">
        <f>'Ocak'!$BP$11</f>
        <v/>
      </c>
      <c r="G74" s="13">
        <f>'Ocak'!$BR$11</f>
        <v/>
      </c>
    </row>
    <row r="75">
      <c r="A75" s="15">
        <f>'Şubat'!$A$11</f>
        <v/>
      </c>
      <c r="B75" s="16">
        <f>'Şubat'!$B$11</f>
        <v/>
      </c>
      <c r="C75" s="15">
        <f>'Şubat'!$C$11</f>
        <v/>
      </c>
      <c r="D75" s="15">
        <f>IF('Şubat'!$A$11="","","Şubat")</f>
        <v/>
      </c>
      <c r="E75" s="17">
        <f>'Şubat'!$BK$11</f>
        <v/>
      </c>
      <c r="F75" s="18">
        <f>'Şubat'!$BJ$11</f>
        <v/>
      </c>
      <c r="G75" s="17">
        <f>'Şubat'!$BL$11</f>
        <v/>
      </c>
    </row>
    <row r="76">
      <c r="A76" s="11">
        <f>'Mart'!$A$11</f>
        <v/>
      </c>
      <c r="B76" s="12">
        <f>'Mart'!$B$11</f>
        <v/>
      </c>
      <c r="C76" s="11">
        <f>'Mart'!$C$11</f>
        <v/>
      </c>
      <c r="D76" s="11">
        <f>IF('Mart'!$A$11="","","Mart")</f>
        <v/>
      </c>
      <c r="E76" s="13">
        <f>'Mart'!$BQ$11</f>
        <v/>
      </c>
      <c r="F76" s="14">
        <f>'Mart'!$BP$11</f>
        <v/>
      </c>
      <c r="G76" s="13">
        <f>'Mart'!$BR$11</f>
        <v/>
      </c>
    </row>
    <row r="77">
      <c r="A77" s="15">
        <f>'Nisan'!$A$11</f>
        <v/>
      </c>
      <c r="B77" s="16">
        <f>'Nisan'!$B$11</f>
        <v/>
      </c>
      <c r="C77" s="15">
        <f>'Nisan'!$C$11</f>
        <v/>
      </c>
      <c r="D77" s="15">
        <f>IF('Nisan'!$A$11="","","Nisan")</f>
        <v/>
      </c>
      <c r="E77" s="17">
        <f>'Nisan'!$BO$11</f>
        <v/>
      </c>
      <c r="F77" s="18">
        <f>'Nisan'!$BN$11</f>
        <v/>
      </c>
      <c r="G77" s="17">
        <f>'Nisan'!$BP$11</f>
        <v/>
      </c>
    </row>
    <row r="78">
      <c r="A78" s="11">
        <f>'Mayıs'!$A$11</f>
        <v/>
      </c>
      <c r="B78" s="12">
        <f>'Mayıs'!$B$11</f>
        <v/>
      </c>
      <c r="C78" s="11">
        <f>'Mayıs'!$C$11</f>
        <v/>
      </c>
      <c r="D78" s="11">
        <f>IF('Mayıs'!$A$11="","","Mayıs")</f>
        <v/>
      </c>
      <c r="E78" s="13">
        <f>'Mayıs'!$BQ$11</f>
        <v/>
      </c>
      <c r="F78" s="14">
        <f>'Mayıs'!$BP$11</f>
        <v/>
      </c>
      <c r="G78" s="13">
        <f>'Mayıs'!$BR$11</f>
        <v/>
      </c>
    </row>
    <row r="79">
      <c r="A79" s="15">
        <f>'Haziran'!$A$11</f>
        <v/>
      </c>
      <c r="B79" s="16">
        <f>'Haziran'!$B$11</f>
        <v/>
      </c>
      <c r="C79" s="15">
        <f>'Haziran'!$C$11</f>
        <v/>
      </c>
      <c r="D79" s="15">
        <f>IF('Haziran'!$A$11="","","Haziran")</f>
        <v/>
      </c>
      <c r="E79" s="17">
        <f>'Haziran'!$BO$11</f>
        <v/>
      </c>
      <c r="F79" s="18">
        <f>'Haziran'!$BN$11</f>
        <v/>
      </c>
      <c r="G79" s="17">
        <f>'Haziran'!$BP$11</f>
        <v/>
      </c>
    </row>
    <row r="80">
      <c r="A80" s="11">
        <f>'Temmuz'!$A$11</f>
        <v/>
      </c>
      <c r="B80" s="12">
        <f>'Temmuz'!$B$11</f>
        <v/>
      </c>
      <c r="C80" s="11">
        <f>'Temmuz'!$C$11</f>
        <v/>
      </c>
      <c r="D80" s="11">
        <f>IF('Temmuz'!$A$11="","","Temmuz")</f>
        <v/>
      </c>
      <c r="E80" s="13">
        <f>'Temmuz'!$BQ$11</f>
        <v/>
      </c>
      <c r="F80" s="14">
        <f>'Temmuz'!$BP$11</f>
        <v/>
      </c>
      <c r="G80" s="13">
        <f>'Temmuz'!$BR$11</f>
        <v/>
      </c>
    </row>
    <row r="81">
      <c r="A81" s="15">
        <f>'Ağustos'!$A$11</f>
        <v/>
      </c>
      <c r="B81" s="16">
        <f>'Ağustos'!$B$11</f>
        <v/>
      </c>
      <c r="C81" s="15">
        <f>'Ağustos'!$C$11</f>
        <v/>
      </c>
      <c r="D81" s="15">
        <f>IF('Ağustos'!$A$11="","","Ağustos")</f>
        <v/>
      </c>
      <c r="E81" s="17">
        <f>'Ağustos'!$BQ$11</f>
        <v/>
      </c>
      <c r="F81" s="18">
        <f>'Ağustos'!$BP$11</f>
        <v/>
      </c>
      <c r="G81" s="17">
        <f>'Ağustos'!$BR$11</f>
        <v/>
      </c>
    </row>
    <row r="82">
      <c r="A82" s="11">
        <f>'Eylül'!$A$11</f>
        <v/>
      </c>
      <c r="B82" s="12">
        <f>'Eylül'!$B$11</f>
        <v/>
      </c>
      <c r="C82" s="11">
        <f>'Eylül'!$C$11</f>
        <v/>
      </c>
      <c r="D82" s="11">
        <f>IF('Eylül'!$A$11="","","Eylül")</f>
        <v/>
      </c>
      <c r="E82" s="13">
        <f>'Eylül'!$BO$11</f>
        <v/>
      </c>
      <c r="F82" s="14">
        <f>'Eylül'!$BN$11</f>
        <v/>
      </c>
      <c r="G82" s="13">
        <f>'Eylül'!$BP$11</f>
        <v/>
      </c>
    </row>
    <row r="83">
      <c r="A83" s="15">
        <f>'Ekim'!$A$11</f>
        <v/>
      </c>
      <c r="B83" s="16">
        <f>'Ekim'!$B$11</f>
        <v/>
      </c>
      <c r="C83" s="15">
        <f>'Ekim'!$C$11</f>
        <v/>
      </c>
      <c r="D83" s="15">
        <f>IF('Ekim'!$A$11="","","Ekim")</f>
        <v/>
      </c>
      <c r="E83" s="17">
        <f>'Ekim'!$BQ$11</f>
        <v/>
      </c>
      <c r="F83" s="18">
        <f>'Ekim'!$BP$11</f>
        <v/>
      </c>
      <c r="G83" s="17">
        <f>'Ekim'!$BR$11</f>
        <v/>
      </c>
    </row>
    <row r="84">
      <c r="A84" s="11">
        <f>'Kasım'!$A$11</f>
        <v/>
      </c>
      <c r="B84" s="12">
        <f>'Kasım'!$B$11</f>
        <v/>
      </c>
      <c r="C84" s="11">
        <f>'Kasım'!$C$11</f>
        <v/>
      </c>
      <c r="D84" s="11">
        <f>IF('Kasım'!$A$11="","","Kasım")</f>
        <v/>
      </c>
      <c r="E84" s="13">
        <f>'Kasım'!$BO$11</f>
        <v/>
      </c>
      <c r="F84" s="14">
        <f>'Kasım'!$BN$11</f>
        <v/>
      </c>
      <c r="G84" s="13">
        <f>'Kasım'!$BP$11</f>
        <v/>
      </c>
    </row>
    <row r="85">
      <c r="A85" s="15">
        <f>'Aralık'!$A$11</f>
        <v/>
      </c>
      <c r="B85" s="16">
        <f>'Aralık'!$B$11</f>
        <v/>
      </c>
      <c r="C85" s="15">
        <f>'Aralık'!$C$11</f>
        <v/>
      </c>
      <c r="D85" s="15">
        <f>IF('Aralık'!$A$11="","","Aralık")</f>
        <v/>
      </c>
      <c r="E85" s="17">
        <f>'Aralık'!$BQ$11</f>
        <v/>
      </c>
      <c r="F85" s="18">
        <f>'Aralık'!$BP$11</f>
        <v/>
      </c>
      <c r="G85" s="17">
        <f>'Aralık'!$BR$11</f>
        <v/>
      </c>
    </row>
    <row r="86" ht="20" customHeight="1">
      <c r="A86" s="19">
        <f>$A$74</f>
        <v/>
      </c>
      <c r="B86" s="20">
        <f>$B$74</f>
        <v/>
      </c>
      <c r="C86" s="19">
        <f>$C$74</f>
        <v/>
      </c>
      <c r="D86" s="19">
        <f>IF($A$74="","","YILLIK TOPLAM")</f>
        <v/>
      </c>
      <c r="E86" s="21">
        <f>IF($A$74="","",SUM(E74:E85))</f>
        <v/>
      </c>
      <c r="F86" s="22">
        <f>IF($A$74="","",SUM(F74:F85))</f>
        <v/>
      </c>
      <c r="G86" s="21">
        <f>IF($A$74="","",SUM(G74:G85))</f>
        <v/>
      </c>
    </row>
    <row r="87">
      <c r="A87" s="11">
        <f>'Ocak'!$A$12</f>
        <v/>
      </c>
      <c r="B87" s="12">
        <f>'Ocak'!$B$12</f>
        <v/>
      </c>
      <c r="C87" s="11">
        <f>'Ocak'!$C$12</f>
        <v/>
      </c>
      <c r="D87" s="11">
        <f>IF('Ocak'!$A$12="","","Ocak")</f>
        <v/>
      </c>
      <c r="E87" s="13">
        <f>'Ocak'!$BQ$12</f>
        <v/>
      </c>
      <c r="F87" s="14">
        <f>'Ocak'!$BP$12</f>
        <v/>
      </c>
      <c r="G87" s="13">
        <f>'Ocak'!$BR$12</f>
        <v/>
      </c>
    </row>
    <row r="88">
      <c r="A88" s="15">
        <f>'Şubat'!$A$12</f>
        <v/>
      </c>
      <c r="B88" s="16">
        <f>'Şubat'!$B$12</f>
        <v/>
      </c>
      <c r="C88" s="15">
        <f>'Şubat'!$C$12</f>
        <v/>
      </c>
      <c r="D88" s="15">
        <f>IF('Şubat'!$A$12="","","Şubat")</f>
        <v/>
      </c>
      <c r="E88" s="17">
        <f>'Şubat'!$BK$12</f>
        <v/>
      </c>
      <c r="F88" s="18">
        <f>'Şubat'!$BJ$12</f>
        <v/>
      </c>
      <c r="G88" s="17">
        <f>'Şubat'!$BL$12</f>
        <v/>
      </c>
    </row>
    <row r="89">
      <c r="A89" s="11">
        <f>'Mart'!$A$12</f>
        <v/>
      </c>
      <c r="B89" s="12">
        <f>'Mart'!$B$12</f>
        <v/>
      </c>
      <c r="C89" s="11">
        <f>'Mart'!$C$12</f>
        <v/>
      </c>
      <c r="D89" s="11">
        <f>IF('Mart'!$A$12="","","Mart")</f>
        <v/>
      </c>
      <c r="E89" s="13">
        <f>'Mart'!$BQ$12</f>
        <v/>
      </c>
      <c r="F89" s="14">
        <f>'Mart'!$BP$12</f>
        <v/>
      </c>
      <c r="G89" s="13">
        <f>'Mart'!$BR$12</f>
        <v/>
      </c>
    </row>
    <row r="90">
      <c r="A90" s="15">
        <f>'Nisan'!$A$12</f>
        <v/>
      </c>
      <c r="B90" s="16">
        <f>'Nisan'!$B$12</f>
        <v/>
      </c>
      <c r="C90" s="15">
        <f>'Nisan'!$C$12</f>
        <v/>
      </c>
      <c r="D90" s="15">
        <f>IF('Nisan'!$A$12="","","Nisan")</f>
        <v/>
      </c>
      <c r="E90" s="17">
        <f>'Nisan'!$BO$12</f>
        <v/>
      </c>
      <c r="F90" s="18">
        <f>'Nisan'!$BN$12</f>
        <v/>
      </c>
      <c r="G90" s="17">
        <f>'Nisan'!$BP$12</f>
        <v/>
      </c>
    </row>
    <row r="91">
      <c r="A91" s="11">
        <f>'Mayıs'!$A$12</f>
        <v/>
      </c>
      <c r="B91" s="12">
        <f>'Mayıs'!$B$12</f>
        <v/>
      </c>
      <c r="C91" s="11">
        <f>'Mayıs'!$C$12</f>
        <v/>
      </c>
      <c r="D91" s="11">
        <f>IF('Mayıs'!$A$12="","","Mayıs")</f>
        <v/>
      </c>
      <c r="E91" s="13">
        <f>'Mayıs'!$BQ$12</f>
        <v/>
      </c>
      <c r="F91" s="14">
        <f>'Mayıs'!$BP$12</f>
        <v/>
      </c>
      <c r="G91" s="13">
        <f>'Mayıs'!$BR$12</f>
        <v/>
      </c>
    </row>
    <row r="92">
      <c r="A92" s="15">
        <f>'Haziran'!$A$12</f>
        <v/>
      </c>
      <c r="B92" s="16">
        <f>'Haziran'!$B$12</f>
        <v/>
      </c>
      <c r="C92" s="15">
        <f>'Haziran'!$C$12</f>
        <v/>
      </c>
      <c r="D92" s="15">
        <f>IF('Haziran'!$A$12="","","Haziran")</f>
        <v/>
      </c>
      <c r="E92" s="17">
        <f>'Haziran'!$BO$12</f>
        <v/>
      </c>
      <c r="F92" s="18">
        <f>'Haziran'!$BN$12</f>
        <v/>
      </c>
      <c r="G92" s="17">
        <f>'Haziran'!$BP$12</f>
        <v/>
      </c>
    </row>
    <row r="93">
      <c r="A93" s="11">
        <f>'Temmuz'!$A$12</f>
        <v/>
      </c>
      <c r="B93" s="12">
        <f>'Temmuz'!$B$12</f>
        <v/>
      </c>
      <c r="C93" s="11">
        <f>'Temmuz'!$C$12</f>
        <v/>
      </c>
      <c r="D93" s="11">
        <f>IF('Temmuz'!$A$12="","","Temmuz")</f>
        <v/>
      </c>
      <c r="E93" s="13">
        <f>'Temmuz'!$BQ$12</f>
        <v/>
      </c>
      <c r="F93" s="14">
        <f>'Temmuz'!$BP$12</f>
        <v/>
      </c>
      <c r="G93" s="13">
        <f>'Temmuz'!$BR$12</f>
        <v/>
      </c>
    </row>
    <row r="94">
      <c r="A94" s="15">
        <f>'Ağustos'!$A$12</f>
        <v/>
      </c>
      <c r="B94" s="16">
        <f>'Ağustos'!$B$12</f>
        <v/>
      </c>
      <c r="C94" s="15">
        <f>'Ağustos'!$C$12</f>
        <v/>
      </c>
      <c r="D94" s="15">
        <f>IF('Ağustos'!$A$12="","","Ağustos")</f>
        <v/>
      </c>
      <c r="E94" s="17">
        <f>'Ağustos'!$BQ$12</f>
        <v/>
      </c>
      <c r="F94" s="18">
        <f>'Ağustos'!$BP$12</f>
        <v/>
      </c>
      <c r="G94" s="17">
        <f>'Ağustos'!$BR$12</f>
        <v/>
      </c>
    </row>
    <row r="95">
      <c r="A95" s="11">
        <f>'Eylül'!$A$12</f>
        <v/>
      </c>
      <c r="B95" s="12">
        <f>'Eylül'!$B$12</f>
        <v/>
      </c>
      <c r="C95" s="11">
        <f>'Eylül'!$C$12</f>
        <v/>
      </c>
      <c r="D95" s="11">
        <f>IF('Eylül'!$A$12="","","Eylül")</f>
        <v/>
      </c>
      <c r="E95" s="13">
        <f>'Eylül'!$BO$12</f>
        <v/>
      </c>
      <c r="F95" s="14">
        <f>'Eylül'!$BN$12</f>
        <v/>
      </c>
      <c r="G95" s="13">
        <f>'Eylül'!$BP$12</f>
        <v/>
      </c>
    </row>
    <row r="96">
      <c r="A96" s="15">
        <f>'Ekim'!$A$12</f>
        <v/>
      </c>
      <c r="B96" s="16">
        <f>'Ekim'!$B$12</f>
        <v/>
      </c>
      <c r="C96" s="15">
        <f>'Ekim'!$C$12</f>
        <v/>
      </c>
      <c r="D96" s="15">
        <f>IF('Ekim'!$A$12="","","Ekim")</f>
        <v/>
      </c>
      <c r="E96" s="17">
        <f>'Ekim'!$BQ$12</f>
        <v/>
      </c>
      <c r="F96" s="18">
        <f>'Ekim'!$BP$12</f>
        <v/>
      </c>
      <c r="G96" s="17">
        <f>'Ekim'!$BR$12</f>
        <v/>
      </c>
    </row>
    <row r="97">
      <c r="A97" s="11">
        <f>'Kasım'!$A$12</f>
        <v/>
      </c>
      <c r="B97" s="12">
        <f>'Kasım'!$B$12</f>
        <v/>
      </c>
      <c r="C97" s="11">
        <f>'Kasım'!$C$12</f>
        <v/>
      </c>
      <c r="D97" s="11">
        <f>IF('Kasım'!$A$12="","","Kasım")</f>
        <v/>
      </c>
      <c r="E97" s="13">
        <f>'Kasım'!$BO$12</f>
        <v/>
      </c>
      <c r="F97" s="14">
        <f>'Kasım'!$BN$12</f>
        <v/>
      </c>
      <c r="G97" s="13">
        <f>'Kasım'!$BP$12</f>
        <v/>
      </c>
    </row>
    <row r="98">
      <c r="A98" s="15">
        <f>'Aralık'!$A$12</f>
        <v/>
      </c>
      <c r="B98" s="16">
        <f>'Aralık'!$B$12</f>
        <v/>
      </c>
      <c r="C98" s="15">
        <f>'Aralık'!$C$12</f>
        <v/>
      </c>
      <c r="D98" s="15">
        <f>IF('Aralık'!$A$12="","","Aralık")</f>
        <v/>
      </c>
      <c r="E98" s="17">
        <f>'Aralık'!$BQ$12</f>
        <v/>
      </c>
      <c r="F98" s="18">
        <f>'Aralık'!$BP$12</f>
        <v/>
      </c>
      <c r="G98" s="17">
        <f>'Aralık'!$BR$12</f>
        <v/>
      </c>
    </row>
    <row r="99" ht="20" customHeight="1">
      <c r="A99" s="19">
        <f>$A$87</f>
        <v/>
      </c>
      <c r="B99" s="20">
        <f>$B$87</f>
        <v/>
      </c>
      <c r="C99" s="19">
        <f>$C$87</f>
        <v/>
      </c>
      <c r="D99" s="19">
        <f>IF($A$87="","","YILLIK TOPLAM")</f>
        <v/>
      </c>
      <c r="E99" s="21">
        <f>IF($A$87="","",SUM(E87:E98))</f>
        <v/>
      </c>
      <c r="F99" s="22">
        <f>IF($A$87="","",SUM(F87:F98))</f>
        <v/>
      </c>
      <c r="G99" s="21">
        <f>IF($A$87="","",SUM(G87:G98))</f>
        <v/>
      </c>
    </row>
    <row r="100">
      <c r="A100" s="11">
        <f>'Ocak'!$A$13</f>
        <v/>
      </c>
      <c r="B100" s="12">
        <f>'Ocak'!$B$13</f>
        <v/>
      </c>
      <c r="C100" s="11">
        <f>'Ocak'!$C$13</f>
        <v/>
      </c>
      <c r="D100" s="11">
        <f>IF('Ocak'!$A$13="","","Ocak")</f>
        <v/>
      </c>
      <c r="E100" s="13">
        <f>'Ocak'!$BQ$13</f>
        <v/>
      </c>
      <c r="F100" s="14">
        <f>'Ocak'!$BP$13</f>
        <v/>
      </c>
      <c r="G100" s="13">
        <f>'Ocak'!$BR$13</f>
        <v/>
      </c>
    </row>
    <row r="101">
      <c r="A101" s="15">
        <f>'Şubat'!$A$13</f>
        <v/>
      </c>
      <c r="B101" s="16">
        <f>'Şubat'!$B$13</f>
        <v/>
      </c>
      <c r="C101" s="15">
        <f>'Şubat'!$C$13</f>
        <v/>
      </c>
      <c r="D101" s="15">
        <f>IF('Şubat'!$A$13="","","Şubat")</f>
        <v/>
      </c>
      <c r="E101" s="17">
        <f>'Şubat'!$BK$13</f>
        <v/>
      </c>
      <c r="F101" s="18">
        <f>'Şubat'!$BJ$13</f>
        <v/>
      </c>
      <c r="G101" s="17">
        <f>'Şubat'!$BL$13</f>
        <v/>
      </c>
    </row>
    <row r="102">
      <c r="A102" s="11">
        <f>'Mart'!$A$13</f>
        <v/>
      </c>
      <c r="B102" s="12">
        <f>'Mart'!$B$13</f>
        <v/>
      </c>
      <c r="C102" s="11">
        <f>'Mart'!$C$13</f>
        <v/>
      </c>
      <c r="D102" s="11">
        <f>IF('Mart'!$A$13="","","Mart")</f>
        <v/>
      </c>
      <c r="E102" s="13">
        <f>'Mart'!$BQ$13</f>
        <v/>
      </c>
      <c r="F102" s="14">
        <f>'Mart'!$BP$13</f>
        <v/>
      </c>
      <c r="G102" s="13">
        <f>'Mart'!$BR$13</f>
        <v/>
      </c>
    </row>
    <row r="103">
      <c r="A103" s="15">
        <f>'Nisan'!$A$13</f>
        <v/>
      </c>
      <c r="B103" s="16">
        <f>'Nisan'!$B$13</f>
        <v/>
      </c>
      <c r="C103" s="15">
        <f>'Nisan'!$C$13</f>
        <v/>
      </c>
      <c r="D103" s="15">
        <f>IF('Nisan'!$A$13="","","Nisan")</f>
        <v/>
      </c>
      <c r="E103" s="17">
        <f>'Nisan'!$BO$13</f>
        <v/>
      </c>
      <c r="F103" s="18">
        <f>'Nisan'!$BN$13</f>
        <v/>
      </c>
      <c r="G103" s="17">
        <f>'Nisan'!$BP$13</f>
        <v/>
      </c>
    </row>
    <row r="104">
      <c r="A104" s="11">
        <f>'Mayıs'!$A$13</f>
        <v/>
      </c>
      <c r="B104" s="12">
        <f>'Mayıs'!$B$13</f>
        <v/>
      </c>
      <c r="C104" s="11">
        <f>'Mayıs'!$C$13</f>
        <v/>
      </c>
      <c r="D104" s="11">
        <f>IF('Mayıs'!$A$13="","","Mayıs")</f>
        <v/>
      </c>
      <c r="E104" s="13">
        <f>'Mayıs'!$BQ$13</f>
        <v/>
      </c>
      <c r="F104" s="14">
        <f>'Mayıs'!$BP$13</f>
        <v/>
      </c>
      <c r="G104" s="13">
        <f>'Mayıs'!$BR$13</f>
        <v/>
      </c>
    </row>
    <row r="105">
      <c r="A105" s="15">
        <f>'Haziran'!$A$13</f>
        <v/>
      </c>
      <c r="B105" s="16">
        <f>'Haziran'!$B$13</f>
        <v/>
      </c>
      <c r="C105" s="15">
        <f>'Haziran'!$C$13</f>
        <v/>
      </c>
      <c r="D105" s="15">
        <f>IF('Haziran'!$A$13="","","Haziran")</f>
        <v/>
      </c>
      <c r="E105" s="17">
        <f>'Haziran'!$BO$13</f>
        <v/>
      </c>
      <c r="F105" s="18">
        <f>'Haziran'!$BN$13</f>
        <v/>
      </c>
      <c r="G105" s="17">
        <f>'Haziran'!$BP$13</f>
        <v/>
      </c>
    </row>
    <row r="106">
      <c r="A106" s="11">
        <f>'Temmuz'!$A$13</f>
        <v/>
      </c>
      <c r="B106" s="12">
        <f>'Temmuz'!$B$13</f>
        <v/>
      </c>
      <c r="C106" s="11">
        <f>'Temmuz'!$C$13</f>
        <v/>
      </c>
      <c r="D106" s="11">
        <f>IF('Temmuz'!$A$13="","","Temmuz")</f>
        <v/>
      </c>
      <c r="E106" s="13">
        <f>'Temmuz'!$BQ$13</f>
        <v/>
      </c>
      <c r="F106" s="14">
        <f>'Temmuz'!$BP$13</f>
        <v/>
      </c>
      <c r="G106" s="13">
        <f>'Temmuz'!$BR$13</f>
        <v/>
      </c>
    </row>
    <row r="107">
      <c r="A107" s="15">
        <f>'Ağustos'!$A$13</f>
        <v/>
      </c>
      <c r="B107" s="16">
        <f>'Ağustos'!$B$13</f>
        <v/>
      </c>
      <c r="C107" s="15">
        <f>'Ağustos'!$C$13</f>
        <v/>
      </c>
      <c r="D107" s="15">
        <f>IF('Ağustos'!$A$13="","","Ağustos")</f>
        <v/>
      </c>
      <c r="E107" s="17">
        <f>'Ağustos'!$BQ$13</f>
        <v/>
      </c>
      <c r="F107" s="18">
        <f>'Ağustos'!$BP$13</f>
        <v/>
      </c>
      <c r="G107" s="17">
        <f>'Ağustos'!$BR$13</f>
        <v/>
      </c>
    </row>
    <row r="108">
      <c r="A108" s="11">
        <f>'Eylül'!$A$13</f>
        <v/>
      </c>
      <c r="B108" s="12">
        <f>'Eylül'!$B$13</f>
        <v/>
      </c>
      <c r="C108" s="11">
        <f>'Eylül'!$C$13</f>
        <v/>
      </c>
      <c r="D108" s="11">
        <f>IF('Eylül'!$A$13="","","Eylül")</f>
        <v/>
      </c>
      <c r="E108" s="13">
        <f>'Eylül'!$BO$13</f>
        <v/>
      </c>
      <c r="F108" s="14">
        <f>'Eylül'!$BN$13</f>
        <v/>
      </c>
      <c r="G108" s="13">
        <f>'Eylül'!$BP$13</f>
        <v/>
      </c>
    </row>
    <row r="109">
      <c r="A109" s="15">
        <f>'Ekim'!$A$13</f>
        <v/>
      </c>
      <c r="B109" s="16">
        <f>'Ekim'!$B$13</f>
        <v/>
      </c>
      <c r="C109" s="15">
        <f>'Ekim'!$C$13</f>
        <v/>
      </c>
      <c r="D109" s="15">
        <f>IF('Ekim'!$A$13="","","Ekim")</f>
        <v/>
      </c>
      <c r="E109" s="17">
        <f>'Ekim'!$BQ$13</f>
        <v/>
      </c>
      <c r="F109" s="18">
        <f>'Ekim'!$BP$13</f>
        <v/>
      </c>
      <c r="G109" s="17">
        <f>'Ekim'!$BR$13</f>
        <v/>
      </c>
    </row>
    <row r="110">
      <c r="A110" s="11">
        <f>'Kasım'!$A$13</f>
        <v/>
      </c>
      <c r="B110" s="12">
        <f>'Kasım'!$B$13</f>
        <v/>
      </c>
      <c r="C110" s="11">
        <f>'Kasım'!$C$13</f>
        <v/>
      </c>
      <c r="D110" s="11">
        <f>IF('Kasım'!$A$13="","","Kasım")</f>
        <v/>
      </c>
      <c r="E110" s="13">
        <f>'Kasım'!$BO$13</f>
        <v/>
      </c>
      <c r="F110" s="14">
        <f>'Kasım'!$BN$13</f>
        <v/>
      </c>
      <c r="G110" s="13">
        <f>'Kasım'!$BP$13</f>
        <v/>
      </c>
    </row>
    <row r="111">
      <c r="A111" s="15">
        <f>'Aralık'!$A$13</f>
        <v/>
      </c>
      <c r="B111" s="16">
        <f>'Aralık'!$B$13</f>
        <v/>
      </c>
      <c r="C111" s="15">
        <f>'Aralık'!$C$13</f>
        <v/>
      </c>
      <c r="D111" s="15">
        <f>IF('Aralık'!$A$13="","","Aralık")</f>
        <v/>
      </c>
      <c r="E111" s="17">
        <f>'Aralık'!$BQ$13</f>
        <v/>
      </c>
      <c r="F111" s="18">
        <f>'Aralık'!$BP$13</f>
        <v/>
      </c>
      <c r="G111" s="17">
        <f>'Aralık'!$BR$13</f>
        <v/>
      </c>
    </row>
    <row r="112" ht="20" customHeight="1">
      <c r="A112" s="19">
        <f>$A$100</f>
        <v/>
      </c>
      <c r="B112" s="20">
        <f>$B$100</f>
        <v/>
      </c>
      <c r="C112" s="19">
        <f>$C$100</f>
        <v/>
      </c>
      <c r="D112" s="19">
        <f>IF($A$100="","","YILLIK TOPLAM")</f>
        <v/>
      </c>
      <c r="E112" s="21">
        <f>IF($A$100="","",SUM(E100:E111))</f>
        <v/>
      </c>
      <c r="F112" s="22">
        <f>IF($A$100="","",SUM(F100:F111))</f>
        <v/>
      </c>
      <c r="G112" s="21">
        <f>IF($A$100="","",SUM(G100:G111))</f>
        <v/>
      </c>
    </row>
    <row r="113">
      <c r="A113" s="11">
        <f>'Ocak'!$A$14</f>
        <v/>
      </c>
      <c r="B113" s="12">
        <f>'Ocak'!$B$14</f>
        <v/>
      </c>
      <c r="C113" s="11">
        <f>'Ocak'!$C$14</f>
        <v/>
      </c>
      <c r="D113" s="11">
        <f>IF('Ocak'!$A$14="","","Ocak")</f>
        <v/>
      </c>
      <c r="E113" s="13">
        <f>'Ocak'!$BQ$14</f>
        <v/>
      </c>
      <c r="F113" s="14">
        <f>'Ocak'!$BP$14</f>
        <v/>
      </c>
      <c r="G113" s="13">
        <f>'Ocak'!$BR$14</f>
        <v/>
      </c>
    </row>
    <row r="114">
      <c r="A114" s="15">
        <f>'Şubat'!$A$14</f>
        <v/>
      </c>
      <c r="B114" s="16">
        <f>'Şubat'!$B$14</f>
        <v/>
      </c>
      <c r="C114" s="15">
        <f>'Şubat'!$C$14</f>
        <v/>
      </c>
      <c r="D114" s="15">
        <f>IF('Şubat'!$A$14="","","Şubat")</f>
        <v/>
      </c>
      <c r="E114" s="17">
        <f>'Şubat'!$BK$14</f>
        <v/>
      </c>
      <c r="F114" s="18">
        <f>'Şubat'!$BJ$14</f>
        <v/>
      </c>
      <c r="G114" s="17">
        <f>'Şubat'!$BL$14</f>
        <v/>
      </c>
    </row>
    <row r="115">
      <c r="A115" s="11">
        <f>'Mart'!$A$14</f>
        <v/>
      </c>
      <c r="B115" s="12">
        <f>'Mart'!$B$14</f>
        <v/>
      </c>
      <c r="C115" s="11">
        <f>'Mart'!$C$14</f>
        <v/>
      </c>
      <c r="D115" s="11">
        <f>IF('Mart'!$A$14="","","Mart")</f>
        <v/>
      </c>
      <c r="E115" s="13">
        <f>'Mart'!$BQ$14</f>
        <v/>
      </c>
      <c r="F115" s="14">
        <f>'Mart'!$BP$14</f>
        <v/>
      </c>
      <c r="G115" s="13">
        <f>'Mart'!$BR$14</f>
        <v/>
      </c>
    </row>
    <row r="116">
      <c r="A116" s="15">
        <f>'Nisan'!$A$14</f>
        <v/>
      </c>
      <c r="B116" s="16">
        <f>'Nisan'!$B$14</f>
        <v/>
      </c>
      <c r="C116" s="15">
        <f>'Nisan'!$C$14</f>
        <v/>
      </c>
      <c r="D116" s="15">
        <f>IF('Nisan'!$A$14="","","Nisan")</f>
        <v/>
      </c>
      <c r="E116" s="17">
        <f>'Nisan'!$BO$14</f>
        <v/>
      </c>
      <c r="F116" s="18">
        <f>'Nisan'!$BN$14</f>
        <v/>
      </c>
      <c r="G116" s="17">
        <f>'Nisan'!$BP$14</f>
        <v/>
      </c>
    </row>
    <row r="117">
      <c r="A117" s="11">
        <f>'Mayıs'!$A$14</f>
        <v/>
      </c>
      <c r="B117" s="12">
        <f>'Mayıs'!$B$14</f>
        <v/>
      </c>
      <c r="C117" s="11">
        <f>'Mayıs'!$C$14</f>
        <v/>
      </c>
      <c r="D117" s="11">
        <f>IF('Mayıs'!$A$14="","","Mayıs")</f>
        <v/>
      </c>
      <c r="E117" s="13">
        <f>'Mayıs'!$BQ$14</f>
        <v/>
      </c>
      <c r="F117" s="14">
        <f>'Mayıs'!$BP$14</f>
        <v/>
      </c>
      <c r="G117" s="13">
        <f>'Mayıs'!$BR$14</f>
        <v/>
      </c>
    </row>
    <row r="118">
      <c r="A118" s="15">
        <f>'Haziran'!$A$14</f>
        <v/>
      </c>
      <c r="B118" s="16">
        <f>'Haziran'!$B$14</f>
        <v/>
      </c>
      <c r="C118" s="15">
        <f>'Haziran'!$C$14</f>
        <v/>
      </c>
      <c r="D118" s="15">
        <f>IF('Haziran'!$A$14="","","Haziran")</f>
        <v/>
      </c>
      <c r="E118" s="17">
        <f>'Haziran'!$BO$14</f>
        <v/>
      </c>
      <c r="F118" s="18">
        <f>'Haziran'!$BN$14</f>
        <v/>
      </c>
      <c r="G118" s="17">
        <f>'Haziran'!$BP$14</f>
        <v/>
      </c>
    </row>
    <row r="119">
      <c r="A119" s="11">
        <f>'Temmuz'!$A$14</f>
        <v/>
      </c>
      <c r="B119" s="12">
        <f>'Temmuz'!$B$14</f>
        <v/>
      </c>
      <c r="C119" s="11">
        <f>'Temmuz'!$C$14</f>
        <v/>
      </c>
      <c r="D119" s="11">
        <f>IF('Temmuz'!$A$14="","","Temmuz")</f>
        <v/>
      </c>
      <c r="E119" s="13">
        <f>'Temmuz'!$BQ$14</f>
        <v/>
      </c>
      <c r="F119" s="14">
        <f>'Temmuz'!$BP$14</f>
        <v/>
      </c>
      <c r="G119" s="13">
        <f>'Temmuz'!$BR$14</f>
        <v/>
      </c>
    </row>
    <row r="120">
      <c r="A120" s="15">
        <f>'Ağustos'!$A$14</f>
        <v/>
      </c>
      <c r="B120" s="16">
        <f>'Ağustos'!$B$14</f>
        <v/>
      </c>
      <c r="C120" s="15">
        <f>'Ağustos'!$C$14</f>
        <v/>
      </c>
      <c r="D120" s="15">
        <f>IF('Ağustos'!$A$14="","","Ağustos")</f>
        <v/>
      </c>
      <c r="E120" s="17">
        <f>'Ağustos'!$BQ$14</f>
        <v/>
      </c>
      <c r="F120" s="18">
        <f>'Ağustos'!$BP$14</f>
        <v/>
      </c>
      <c r="G120" s="17">
        <f>'Ağustos'!$BR$14</f>
        <v/>
      </c>
    </row>
    <row r="121">
      <c r="A121" s="11">
        <f>'Eylül'!$A$14</f>
        <v/>
      </c>
      <c r="B121" s="12">
        <f>'Eylül'!$B$14</f>
        <v/>
      </c>
      <c r="C121" s="11">
        <f>'Eylül'!$C$14</f>
        <v/>
      </c>
      <c r="D121" s="11">
        <f>IF('Eylül'!$A$14="","","Eylül")</f>
        <v/>
      </c>
      <c r="E121" s="13">
        <f>'Eylül'!$BO$14</f>
        <v/>
      </c>
      <c r="F121" s="14">
        <f>'Eylül'!$BN$14</f>
        <v/>
      </c>
      <c r="G121" s="13">
        <f>'Eylül'!$BP$14</f>
        <v/>
      </c>
    </row>
    <row r="122">
      <c r="A122" s="15">
        <f>'Ekim'!$A$14</f>
        <v/>
      </c>
      <c r="B122" s="16">
        <f>'Ekim'!$B$14</f>
        <v/>
      </c>
      <c r="C122" s="15">
        <f>'Ekim'!$C$14</f>
        <v/>
      </c>
      <c r="D122" s="15">
        <f>IF('Ekim'!$A$14="","","Ekim")</f>
        <v/>
      </c>
      <c r="E122" s="17">
        <f>'Ekim'!$BQ$14</f>
        <v/>
      </c>
      <c r="F122" s="18">
        <f>'Ekim'!$BP$14</f>
        <v/>
      </c>
      <c r="G122" s="17">
        <f>'Ekim'!$BR$14</f>
        <v/>
      </c>
    </row>
    <row r="123">
      <c r="A123" s="11">
        <f>'Kasım'!$A$14</f>
        <v/>
      </c>
      <c r="B123" s="12">
        <f>'Kasım'!$B$14</f>
        <v/>
      </c>
      <c r="C123" s="11">
        <f>'Kasım'!$C$14</f>
        <v/>
      </c>
      <c r="D123" s="11">
        <f>IF('Kasım'!$A$14="","","Kasım")</f>
        <v/>
      </c>
      <c r="E123" s="13">
        <f>'Kasım'!$BO$14</f>
        <v/>
      </c>
      <c r="F123" s="14">
        <f>'Kasım'!$BN$14</f>
        <v/>
      </c>
      <c r="G123" s="13">
        <f>'Kasım'!$BP$14</f>
        <v/>
      </c>
    </row>
    <row r="124">
      <c r="A124" s="15">
        <f>'Aralık'!$A$14</f>
        <v/>
      </c>
      <c r="B124" s="16">
        <f>'Aralık'!$B$14</f>
        <v/>
      </c>
      <c r="C124" s="15">
        <f>'Aralık'!$C$14</f>
        <v/>
      </c>
      <c r="D124" s="15">
        <f>IF('Aralık'!$A$14="","","Aralık")</f>
        <v/>
      </c>
      <c r="E124" s="17">
        <f>'Aralık'!$BQ$14</f>
        <v/>
      </c>
      <c r="F124" s="18">
        <f>'Aralık'!$BP$14</f>
        <v/>
      </c>
      <c r="G124" s="17">
        <f>'Aralık'!$BR$14</f>
        <v/>
      </c>
    </row>
    <row r="125" ht="20" customHeight="1">
      <c r="A125" s="19">
        <f>$A$113</f>
        <v/>
      </c>
      <c r="B125" s="20">
        <f>$B$113</f>
        <v/>
      </c>
      <c r="C125" s="19">
        <f>$C$113</f>
        <v/>
      </c>
      <c r="D125" s="19">
        <f>IF($A$113="","","YILLIK TOPLAM")</f>
        <v/>
      </c>
      <c r="E125" s="21">
        <f>IF($A$113="","",SUM(E113:E124))</f>
        <v/>
      </c>
      <c r="F125" s="22">
        <f>IF($A$113="","",SUM(F113:F124))</f>
        <v/>
      </c>
      <c r="G125" s="21">
        <f>IF($A$113="","",SUM(G113:G124))</f>
        <v/>
      </c>
    </row>
    <row r="126">
      <c r="A126" s="11">
        <f>'Ocak'!$A$15</f>
        <v/>
      </c>
      <c r="B126" s="12">
        <f>'Ocak'!$B$15</f>
        <v/>
      </c>
      <c r="C126" s="11">
        <f>'Ocak'!$C$15</f>
        <v/>
      </c>
      <c r="D126" s="11">
        <f>IF('Ocak'!$A$15="","","Ocak")</f>
        <v/>
      </c>
      <c r="E126" s="13">
        <f>'Ocak'!$BQ$15</f>
        <v/>
      </c>
      <c r="F126" s="14">
        <f>'Ocak'!$BP$15</f>
        <v/>
      </c>
      <c r="G126" s="13">
        <f>'Ocak'!$BR$15</f>
        <v/>
      </c>
    </row>
    <row r="127">
      <c r="A127" s="15">
        <f>'Şubat'!$A$15</f>
        <v/>
      </c>
      <c r="B127" s="16">
        <f>'Şubat'!$B$15</f>
        <v/>
      </c>
      <c r="C127" s="15">
        <f>'Şubat'!$C$15</f>
        <v/>
      </c>
      <c r="D127" s="15">
        <f>IF('Şubat'!$A$15="","","Şubat")</f>
        <v/>
      </c>
      <c r="E127" s="17">
        <f>'Şubat'!$BK$15</f>
        <v/>
      </c>
      <c r="F127" s="18">
        <f>'Şubat'!$BJ$15</f>
        <v/>
      </c>
      <c r="G127" s="17">
        <f>'Şubat'!$BL$15</f>
        <v/>
      </c>
    </row>
    <row r="128">
      <c r="A128" s="11">
        <f>'Mart'!$A$15</f>
        <v/>
      </c>
      <c r="B128" s="12">
        <f>'Mart'!$B$15</f>
        <v/>
      </c>
      <c r="C128" s="11">
        <f>'Mart'!$C$15</f>
        <v/>
      </c>
      <c r="D128" s="11">
        <f>IF('Mart'!$A$15="","","Mart")</f>
        <v/>
      </c>
      <c r="E128" s="13">
        <f>'Mart'!$BQ$15</f>
        <v/>
      </c>
      <c r="F128" s="14">
        <f>'Mart'!$BP$15</f>
        <v/>
      </c>
      <c r="G128" s="13">
        <f>'Mart'!$BR$15</f>
        <v/>
      </c>
    </row>
    <row r="129">
      <c r="A129" s="15">
        <f>'Nisan'!$A$15</f>
        <v/>
      </c>
      <c r="B129" s="16">
        <f>'Nisan'!$B$15</f>
        <v/>
      </c>
      <c r="C129" s="15">
        <f>'Nisan'!$C$15</f>
        <v/>
      </c>
      <c r="D129" s="15">
        <f>IF('Nisan'!$A$15="","","Nisan")</f>
        <v/>
      </c>
      <c r="E129" s="17">
        <f>'Nisan'!$BO$15</f>
        <v/>
      </c>
      <c r="F129" s="18">
        <f>'Nisan'!$BN$15</f>
        <v/>
      </c>
      <c r="G129" s="17">
        <f>'Nisan'!$BP$15</f>
        <v/>
      </c>
    </row>
    <row r="130">
      <c r="A130" s="11">
        <f>'Mayıs'!$A$15</f>
        <v/>
      </c>
      <c r="B130" s="12">
        <f>'Mayıs'!$B$15</f>
        <v/>
      </c>
      <c r="C130" s="11">
        <f>'Mayıs'!$C$15</f>
        <v/>
      </c>
      <c r="D130" s="11">
        <f>IF('Mayıs'!$A$15="","","Mayıs")</f>
        <v/>
      </c>
      <c r="E130" s="13">
        <f>'Mayıs'!$BQ$15</f>
        <v/>
      </c>
      <c r="F130" s="14">
        <f>'Mayıs'!$BP$15</f>
        <v/>
      </c>
      <c r="G130" s="13">
        <f>'Mayıs'!$BR$15</f>
        <v/>
      </c>
    </row>
    <row r="131">
      <c r="A131" s="15">
        <f>'Haziran'!$A$15</f>
        <v/>
      </c>
      <c r="B131" s="16">
        <f>'Haziran'!$B$15</f>
        <v/>
      </c>
      <c r="C131" s="15">
        <f>'Haziran'!$C$15</f>
        <v/>
      </c>
      <c r="D131" s="15">
        <f>IF('Haziran'!$A$15="","","Haziran")</f>
        <v/>
      </c>
      <c r="E131" s="17">
        <f>'Haziran'!$BO$15</f>
        <v/>
      </c>
      <c r="F131" s="18">
        <f>'Haziran'!$BN$15</f>
        <v/>
      </c>
      <c r="G131" s="17">
        <f>'Haziran'!$BP$15</f>
        <v/>
      </c>
    </row>
    <row r="132">
      <c r="A132" s="11">
        <f>'Temmuz'!$A$15</f>
        <v/>
      </c>
      <c r="B132" s="12">
        <f>'Temmuz'!$B$15</f>
        <v/>
      </c>
      <c r="C132" s="11">
        <f>'Temmuz'!$C$15</f>
        <v/>
      </c>
      <c r="D132" s="11">
        <f>IF('Temmuz'!$A$15="","","Temmuz")</f>
        <v/>
      </c>
      <c r="E132" s="13">
        <f>'Temmuz'!$BQ$15</f>
        <v/>
      </c>
      <c r="F132" s="14">
        <f>'Temmuz'!$BP$15</f>
        <v/>
      </c>
      <c r="G132" s="13">
        <f>'Temmuz'!$BR$15</f>
        <v/>
      </c>
    </row>
    <row r="133">
      <c r="A133" s="15">
        <f>'Ağustos'!$A$15</f>
        <v/>
      </c>
      <c r="B133" s="16">
        <f>'Ağustos'!$B$15</f>
        <v/>
      </c>
      <c r="C133" s="15">
        <f>'Ağustos'!$C$15</f>
        <v/>
      </c>
      <c r="D133" s="15">
        <f>IF('Ağustos'!$A$15="","","Ağustos")</f>
        <v/>
      </c>
      <c r="E133" s="17">
        <f>'Ağustos'!$BQ$15</f>
        <v/>
      </c>
      <c r="F133" s="18">
        <f>'Ağustos'!$BP$15</f>
        <v/>
      </c>
      <c r="G133" s="17">
        <f>'Ağustos'!$BR$15</f>
        <v/>
      </c>
    </row>
    <row r="134">
      <c r="A134" s="11">
        <f>'Eylül'!$A$15</f>
        <v/>
      </c>
      <c r="B134" s="12">
        <f>'Eylül'!$B$15</f>
        <v/>
      </c>
      <c r="C134" s="11">
        <f>'Eylül'!$C$15</f>
        <v/>
      </c>
      <c r="D134" s="11">
        <f>IF('Eylül'!$A$15="","","Eylül")</f>
        <v/>
      </c>
      <c r="E134" s="13">
        <f>'Eylül'!$BO$15</f>
        <v/>
      </c>
      <c r="F134" s="14">
        <f>'Eylül'!$BN$15</f>
        <v/>
      </c>
      <c r="G134" s="13">
        <f>'Eylül'!$BP$15</f>
        <v/>
      </c>
    </row>
    <row r="135">
      <c r="A135" s="15">
        <f>'Ekim'!$A$15</f>
        <v/>
      </c>
      <c r="B135" s="16">
        <f>'Ekim'!$B$15</f>
        <v/>
      </c>
      <c r="C135" s="15">
        <f>'Ekim'!$C$15</f>
        <v/>
      </c>
      <c r="D135" s="15">
        <f>IF('Ekim'!$A$15="","","Ekim")</f>
        <v/>
      </c>
      <c r="E135" s="17">
        <f>'Ekim'!$BQ$15</f>
        <v/>
      </c>
      <c r="F135" s="18">
        <f>'Ekim'!$BP$15</f>
        <v/>
      </c>
      <c r="G135" s="17">
        <f>'Ekim'!$BR$15</f>
        <v/>
      </c>
    </row>
    <row r="136">
      <c r="A136" s="11">
        <f>'Kasım'!$A$15</f>
        <v/>
      </c>
      <c r="B136" s="12">
        <f>'Kasım'!$B$15</f>
        <v/>
      </c>
      <c r="C136" s="11">
        <f>'Kasım'!$C$15</f>
        <v/>
      </c>
      <c r="D136" s="11">
        <f>IF('Kasım'!$A$15="","","Kasım")</f>
        <v/>
      </c>
      <c r="E136" s="13">
        <f>'Kasım'!$BO$15</f>
        <v/>
      </c>
      <c r="F136" s="14">
        <f>'Kasım'!$BN$15</f>
        <v/>
      </c>
      <c r="G136" s="13">
        <f>'Kasım'!$BP$15</f>
        <v/>
      </c>
    </row>
    <row r="137">
      <c r="A137" s="15">
        <f>'Aralık'!$A$15</f>
        <v/>
      </c>
      <c r="B137" s="16">
        <f>'Aralık'!$B$15</f>
        <v/>
      </c>
      <c r="C137" s="15">
        <f>'Aralık'!$C$15</f>
        <v/>
      </c>
      <c r="D137" s="15">
        <f>IF('Aralık'!$A$15="","","Aralık")</f>
        <v/>
      </c>
      <c r="E137" s="17">
        <f>'Aralık'!$BQ$15</f>
        <v/>
      </c>
      <c r="F137" s="18">
        <f>'Aralık'!$BP$15</f>
        <v/>
      </c>
      <c r="G137" s="17">
        <f>'Aralık'!$BR$15</f>
        <v/>
      </c>
    </row>
    <row r="138" ht="20" customHeight="1">
      <c r="A138" s="19">
        <f>$A$126</f>
        <v/>
      </c>
      <c r="B138" s="20">
        <f>$B$126</f>
        <v/>
      </c>
      <c r="C138" s="19">
        <f>$C$126</f>
        <v/>
      </c>
      <c r="D138" s="19">
        <f>IF($A$126="","","YILLIK TOPLAM")</f>
        <v/>
      </c>
      <c r="E138" s="21">
        <f>IF($A$126="","",SUM(E126:E137))</f>
        <v/>
      </c>
      <c r="F138" s="22">
        <f>IF($A$126="","",SUM(F126:F137))</f>
        <v/>
      </c>
      <c r="G138" s="21">
        <f>IF($A$126="","",SUM(G126:G137))</f>
        <v/>
      </c>
    </row>
    <row r="139">
      <c r="A139" s="11">
        <f>'Ocak'!$A$16</f>
        <v/>
      </c>
      <c r="B139" s="12">
        <f>'Ocak'!$B$16</f>
        <v/>
      </c>
      <c r="C139" s="11">
        <f>'Ocak'!$C$16</f>
        <v/>
      </c>
      <c r="D139" s="11">
        <f>IF('Ocak'!$A$16="","","Ocak")</f>
        <v/>
      </c>
      <c r="E139" s="13">
        <f>'Ocak'!$BQ$16</f>
        <v/>
      </c>
      <c r="F139" s="14">
        <f>'Ocak'!$BP$16</f>
        <v/>
      </c>
      <c r="G139" s="13">
        <f>'Ocak'!$BR$16</f>
        <v/>
      </c>
    </row>
    <row r="140">
      <c r="A140" s="15">
        <f>'Şubat'!$A$16</f>
        <v/>
      </c>
      <c r="B140" s="16">
        <f>'Şubat'!$B$16</f>
        <v/>
      </c>
      <c r="C140" s="15">
        <f>'Şubat'!$C$16</f>
        <v/>
      </c>
      <c r="D140" s="15">
        <f>IF('Şubat'!$A$16="","","Şubat")</f>
        <v/>
      </c>
      <c r="E140" s="17">
        <f>'Şubat'!$BK$16</f>
        <v/>
      </c>
      <c r="F140" s="18">
        <f>'Şubat'!$BJ$16</f>
        <v/>
      </c>
      <c r="G140" s="17">
        <f>'Şubat'!$BL$16</f>
        <v/>
      </c>
    </row>
    <row r="141">
      <c r="A141" s="11">
        <f>'Mart'!$A$16</f>
        <v/>
      </c>
      <c r="B141" s="12">
        <f>'Mart'!$B$16</f>
        <v/>
      </c>
      <c r="C141" s="11">
        <f>'Mart'!$C$16</f>
        <v/>
      </c>
      <c r="D141" s="11">
        <f>IF('Mart'!$A$16="","","Mart")</f>
        <v/>
      </c>
      <c r="E141" s="13">
        <f>'Mart'!$BQ$16</f>
        <v/>
      </c>
      <c r="F141" s="14">
        <f>'Mart'!$BP$16</f>
        <v/>
      </c>
      <c r="G141" s="13">
        <f>'Mart'!$BR$16</f>
        <v/>
      </c>
    </row>
    <row r="142">
      <c r="A142" s="15">
        <f>'Nisan'!$A$16</f>
        <v/>
      </c>
      <c r="B142" s="16">
        <f>'Nisan'!$B$16</f>
        <v/>
      </c>
      <c r="C142" s="15">
        <f>'Nisan'!$C$16</f>
        <v/>
      </c>
      <c r="D142" s="15">
        <f>IF('Nisan'!$A$16="","","Nisan")</f>
        <v/>
      </c>
      <c r="E142" s="17">
        <f>'Nisan'!$BO$16</f>
        <v/>
      </c>
      <c r="F142" s="18">
        <f>'Nisan'!$BN$16</f>
        <v/>
      </c>
      <c r="G142" s="17">
        <f>'Nisan'!$BP$16</f>
        <v/>
      </c>
    </row>
    <row r="143">
      <c r="A143" s="11">
        <f>'Mayıs'!$A$16</f>
        <v/>
      </c>
      <c r="B143" s="12">
        <f>'Mayıs'!$B$16</f>
        <v/>
      </c>
      <c r="C143" s="11">
        <f>'Mayıs'!$C$16</f>
        <v/>
      </c>
      <c r="D143" s="11">
        <f>IF('Mayıs'!$A$16="","","Mayıs")</f>
        <v/>
      </c>
      <c r="E143" s="13">
        <f>'Mayıs'!$BQ$16</f>
        <v/>
      </c>
      <c r="F143" s="14">
        <f>'Mayıs'!$BP$16</f>
        <v/>
      </c>
      <c r="G143" s="13">
        <f>'Mayıs'!$BR$16</f>
        <v/>
      </c>
    </row>
    <row r="144">
      <c r="A144" s="15">
        <f>'Haziran'!$A$16</f>
        <v/>
      </c>
      <c r="B144" s="16">
        <f>'Haziran'!$B$16</f>
        <v/>
      </c>
      <c r="C144" s="15">
        <f>'Haziran'!$C$16</f>
        <v/>
      </c>
      <c r="D144" s="15">
        <f>IF('Haziran'!$A$16="","","Haziran")</f>
        <v/>
      </c>
      <c r="E144" s="17">
        <f>'Haziran'!$BO$16</f>
        <v/>
      </c>
      <c r="F144" s="18">
        <f>'Haziran'!$BN$16</f>
        <v/>
      </c>
      <c r="G144" s="17">
        <f>'Haziran'!$BP$16</f>
        <v/>
      </c>
    </row>
    <row r="145">
      <c r="A145" s="11">
        <f>'Temmuz'!$A$16</f>
        <v/>
      </c>
      <c r="B145" s="12">
        <f>'Temmuz'!$B$16</f>
        <v/>
      </c>
      <c r="C145" s="11">
        <f>'Temmuz'!$C$16</f>
        <v/>
      </c>
      <c r="D145" s="11">
        <f>IF('Temmuz'!$A$16="","","Temmuz")</f>
        <v/>
      </c>
      <c r="E145" s="13">
        <f>'Temmuz'!$BQ$16</f>
        <v/>
      </c>
      <c r="F145" s="14">
        <f>'Temmuz'!$BP$16</f>
        <v/>
      </c>
      <c r="G145" s="13">
        <f>'Temmuz'!$BR$16</f>
        <v/>
      </c>
    </row>
    <row r="146">
      <c r="A146" s="15">
        <f>'Ağustos'!$A$16</f>
        <v/>
      </c>
      <c r="B146" s="16">
        <f>'Ağustos'!$B$16</f>
        <v/>
      </c>
      <c r="C146" s="15">
        <f>'Ağustos'!$C$16</f>
        <v/>
      </c>
      <c r="D146" s="15">
        <f>IF('Ağustos'!$A$16="","","Ağustos")</f>
        <v/>
      </c>
      <c r="E146" s="17">
        <f>'Ağustos'!$BQ$16</f>
        <v/>
      </c>
      <c r="F146" s="18">
        <f>'Ağustos'!$BP$16</f>
        <v/>
      </c>
      <c r="G146" s="17">
        <f>'Ağustos'!$BR$16</f>
        <v/>
      </c>
    </row>
    <row r="147">
      <c r="A147" s="11">
        <f>'Eylül'!$A$16</f>
        <v/>
      </c>
      <c r="B147" s="12">
        <f>'Eylül'!$B$16</f>
        <v/>
      </c>
      <c r="C147" s="11">
        <f>'Eylül'!$C$16</f>
        <v/>
      </c>
      <c r="D147" s="11">
        <f>IF('Eylül'!$A$16="","","Eylül")</f>
        <v/>
      </c>
      <c r="E147" s="13">
        <f>'Eylül'!$BO$16</f>
        <v/>
      </c>
      <c r="F147" s="14">
        <f>'Eylül'!$BN$16</f>
        <v/>
      </c>
      <c r="G147" s="13">
        <f>'Eylül'!$BP$16</f>
        <v/>
      </c>
    </row>
    <row r="148">
      <c r="A148" s="15">
        <f>'Ekim'!$A$16</f>
        <v/>
      </c>
      <c r="B148" s="16">
        <f>'Ekim'!$B$16</f>
        <v/>
      </c>
      <c r="C148" s="15">
        <f>'Ekim'!$C$16</f>
        <v/>
      </c>
      <c r="D148" s="15">
        <f>IF('Ekim'!$A$16="","","Ekim")</f>
        <v/>
      </c>
      <c r="E148" s="17">
        <f>'Ekim'!$BQ$16</f>
        <v/>
      </c>
      <c r="F148" s="18">
        <f>'Ekim'!$BP$16</f>
        <v/>
      </c>
      <c r="G148" s="17">
        <f>'Ekim'!$BR$16</f>
        <v/>
      </c>
    </row>
    <row r="149">
      <c r="A149" s="11">
        <f>'Kasım'!$A$16</f>
        <v/>
      </c>
      <c r="B149" s="12">
        <f>'Kasım'!$B$16</f>
        <v/>
      </c>
      <c r="C149" s="11">
        <f>'Kasım'!$C$16</f>
        <v/>
      </c>
      <c r="D149" s="11">
        <f>IF('Kasım'!$A$16="","","Kasım")</f>
        <v/>
      </c>
      <c r="E149" s="13">
        <f>'Kasım'!$BO$16</f>
        <v/>
      </c>
      <c r="F149" s="14">
        <f>'Kasım'!$BN$16</f>
        <v/>
      </c>
      <c r="G149" s="13">
        <f>'Kasım'!$BP$16</f>
        <v/>
      </c>
    </row>
    <row r="150">
      <c r="A150" s="15">
        <f>'Aralık'!$A$16</f>
        <v/>
      </c>
      <c r="B150" s="16">
        <f>'Aralık'!$B$16</f>
        <v/>
      </c>
      <c r="C150" s="15">
        <f>'Aralık'!$C$16</f>
        <v/>
      </c>
      <c r="D150" s="15">
        <f>IF('Aralık'!$A$16="","","Aralık")</f>
        <v/>
      </c>
      <c r="E150" s="17">
        <f>'Aralık'!$BQ$16</f>
        <v/>
      </c>
      <c r="F150" s="18">
        <f>'Aralık'!$BP$16</f>
        <v/>
      </c>
      <c r="G150" s="17">
        <f>'Aralık'!$BR$16</f>
        <v/>
      </c>
    </row>
    <row r="151" ht="20" customHeight="1">
      <c r="A151" s="19">
        <f>$A$139</f>
        <v/>
      </c>
      <c r="B151" s="20">
        <f>$B$139</f>
        <v/>
      </c>
      <c r="C151" s="19">
        <f>$C$139</f>
        <v/>
      </c>
      <c r="D151" s="19">
        <f>IF($A$139="","","YILLIK TOPLAM")</f>
        <v/>
      </c>
      <c r="E151" s="21">
        <f>IF($A$139="","",SUM(E139:E150))</f>
        <v/>
      </c>
      <c r="F151" s="22">
        <f>IF($A$139="","",SUM(F139:F150))</f>
        <v/>
      </c>
      <c r="G151" s="21">
        <f>IF($A$139="","",SUM(G139:G150))</f>
        <v/>
      </c>
    </row>
    <row r="152">
      <c r="A152" s="11">
        <f>'Ocak'!$A$17</f>
        <v/>
      </c>
      <c r="B152" s="12">
        <f>'Ocak'!$B$17</f>
        <v/>
      </c>
      <c r="C152" s="11">
        <f>'Ocak'!$C$17</f>
        <v/>
      </c>
      <c r="D152" s="11">
        <f>IF('Ocak'!$A$17="","","Ocak")</f>
        <v/>
      </c>
      <c r="E152" s="13">
        <f>'Ocak'!$BQ$17</f>
        <v/>
      </c>
      <c r="F152" s="14">
        <f>'Ocak'!$BP$17</f>
        <v/>
      </c>
      <c r="G152" s="13">
        <f>'Ocak'!$BR$17</f>
        <v/>
      </c>
    </row>
    <row r="153">
      <c r="A153" s="15">
        <f>'Şubat'!$A$17</f>
        <v/>
      </c>
      <c r="B153" s="16">
        <f>'Şubat'!$B$17</f>
        <v/>
      </c>
      <c r="C153" s="15">
        <f>'Şubat'!$C$17</f>
        <v/>
      </c>
      <c r="D153" s="15">
        <f>IF('Şubat'!$A$17="","","Şubat")</f>
        <v/>
      </c>
      <c r="E153" s="17">
        <f>'Şubat'!$BK$17</f>
        <v/>
      </c>
      <c r="F153" s="18">
        <f>'Şubat'!$BJ$17</f>
        <v/>
      </c>
      <c r="G153" s="17">
        <f>'Şubat'!$BL$17</f>
        <v/>
      </c>
    </row>
    <row r="154">
      <c r="A154" s="11">
        <f>'Mart'!$A$17</f>
        <v/>
      </c>
      <c r="B154" s="12">
        <f>'Mart'!$B$17</f>
        <v/>
      </c>
      <c r="C154" s="11">
        <f>'Mart'!$C$17</f>
        <v/>
      </c>
      <c r="D154" s="11">
        <f>IF('Mart'!$A$17="","","Mart")</f>
        <v/>
      </c>
      <c r="E154" s="13">
        <f>'Mart'!$BQ$17</f>
        <v/>
      </c>
      <c r="F154" s="14">
        <f>'Mart'!$BP$17</f>
        <v/>
      </c>
      <c r="G154" s="13">
        <f>'Mart'!$BR$17</f>
        <v/>
      </c>
    </row>
    <row r="155">
      <c r="A155" s="15">
        <f>'Nisan'!$A$17</f>
        <v/>
      </c>
      <c r="B155" s="16">
        <f>'Nisan'!$B$17</f>
        <v/>
      </c>
      <c r="C155" s="15">
        <f>'Nisan'!$C$17</f>
        <v/>
      </c>
      <c r="D155" s="15">
        <f>IF('Nisan'!$A$17="","","Nisan")</f>
        <v/>
      </c>
      <c r="E155" s="17">
        <f>'Nisan'!$BO$17</f>
        <v/>
      </c>
      <c r="F155" s="18">
        <f>'Nisan'!$BN$17</f>
        <v/>
      </c>
      <c r="G155" s="17">
        <f>'Nisan'!$BP$17</f>
        <v/>
      </c>
    </row>
    <row r="156">
      <c r="A156" s="11">
        <f>'Mayıs'!$A$17</f>
        <v/>
      </c>
      <c r="B156" s="12">
        <f>'Mayıs'!$B$17</f>
        <v/>
      </c>
      <c r="C156" s="11">
        <f>'Mayıs'!$C$17</f>
        <v/>
      </c>
      <c r="D156" s="11">
        <f>IF('Mayıs'!$A$17="","","Mayıs")</f>
        <v/>
      </c>
      <c r="E156" s="13">
        <f>'Mayıs'!$BQ$17</f>
        <v/>
      </c>
      <c r="F156" s="14">
        <f>'Mayıs'!$BP$17</f>
        <v/>
      </c>
      <c r="G156" s="13">
        <f>'Mayıs'!$BR$17</f>
        <v/>
      </c>
    </row>
    <row r="157">
      <c r="A157" s="15">
        <f>'Haziran'!$A$17</f>
        <v/>
      </c>
      <c r="B157" s="16">
        <f>'Haziran'!$B$17</f>
        <v/>
      </c>
      <c r="C157" s="15">
        <f>'Haziran'!$C$17</f>
        <v/>
      </c>
      <c r="D157" s="15">
        <f>IF('Haziran'!$A$17="","","Haziran")</f>
        <v/>
      </c>
      <c r="E157" s="17">
        <f>'Haziran'!$BO$17</f>
        <v/>
      </c>
      <c r="F157" s="18">
        <f>'Haziran'!$BN$17</f>
        <v/>
      </c>
      <c r="G157" s="17">
        <f>'Haziran'!$BP$17</f>
        <v/>
      </c>
    </row>
    <row r="158">
      <c r="A158" s="11">
        <f>'Temmuz'!$A$17</f>
        <v/>
      </c>
      <c r="B158" s="12">
        <f>'Temmuz'!$B$17</f>
        <v/>
      </c>
      <c r="C158" s="11">
        <f>'Temmuz'!$C$17</f>
        <v/>
      </c>
      <c r="D158" s="11">
        <f>IF('Temmuz'!$A$17="","","Temmuz")</f>
        <v/>
      </c>
      <c r="E158" s="13">
        <f>'Temmuz'!$BQ$17</f>
        <v/>
      </c>
      <c r="F158" s="14">
        <f>'Temmuz'!$BP$17</f>
        <v/>
      </c>
      <c r="G158" s="13">
        <f>'Temmuz'!$BR$17</f>
        <v/>
      </c>
    </row>
    <row r="159">
      <c r="A159" s="15">
        <f>'Ağustos'!$A$17</f>
        <v/>
      </c>
      <c r="B159" s="16">
        <f>'Ağustos'!$B$17</f>
        <v/>
      </c>
      <c r="C159" s="15">
        <f>'Ağustos'!$C$17</f>
        <v/>
      </c>
      <c r="D159" s="15">
        <f>IF('Ağustos'!$A$17="","","Ağustos")</f>
        <v/>
      </c>
      <c r="E159" s="17">
        <f>'Ağustos'!$BQ$17</f>
        <v/>
      </c>
      <c r="F159" s="18">
        <f>'Ağustos'!$BP$17</f>
        <v/>
      </c>
      <c r="G159" s="17">
        <f>'Ağustos'!$BR$17</f>
        <v/>
      </c>
    </row>
    <row r="160">
      <c r="A160" s="11">
        <f>'Eylül'!$A$17</f>
        <v/>
      </c>
      <c r="B160" s="12">
        <f>'Eylül'!$B$17</f>
        <v/>
      </c>
      <c r="C160" s="11">
        <f>'Eylül'!$C$17</f>
        <v/>
      </c>
      <c r="D160" s="11">
        <f>IF('Eylül'!$A$17="","","Eylül")</f>
        <v/>
      </c>
      <c r="E160" s="13">
        <f>'Eylül'!$BO$17</f>
        <v/>
      </c>
      <c r="F160" s="14">
        <f>'Eylül'!$BN$17</f>
        <v/>
      </c>
      <c r="G160" s="13">
        <f>'Eylül'!$BP$17</f>
        <v/>
      </c>
    </row>
    <row r="161">
      <c r="A161" s="15">
        <f>'Ekim'!$A$17</f>
        <v/>
      </c>
      <c r="B161" s="16">
        <f>'Ekim'!$B$17</f>
        <v/>
      </c>
      <c r="C161" s="15">
        <f>'Ekim'!$C$17</f>
        <v/>
      </c>
      <c r="D161" s="15">
        <f>IF('Ekim'!$A$17="","","Ekim")</f>
        <v/>
      </c>
      <c r="E161" s="17">
        <f>'Ekim'!$BQ$17</f>
        <v/>
      </c>
      <c r="F161" s="18">
        <f>'Ekim'!$BP$17</f>
        <v/>
      </c>
      <c r="G161" s="17">
        <f>'Ekim'!$BR$17</f>
        <v/>
      </c>
    </row>
    <row r="162">
      <c r="A162" s="11">
        <f>'Kasım'!$A$17</f>
        <v/>
      </c>
      <c r="B162" s="12">
        <f>'Kasım'!$B$17</f>
        <v/>
      </c>
      <c r="C162" s="11">
        <f>'Kasım'!$C$17</f>
        <v/>
      </c>
      <c r="D162" s="11">
        <f>IF('Kasım'!$A$17="","","Kasım")</f>
        <v/>
      </c>
      <c r="E162" s="13">
        <f>'Kasım'!$BO$17</f>
        <v/>
      </c>
      <c r="F162" s="14">
        <f>'Kasım'!$BN$17</f>
        <v/>
      </c>
      <c r="G162" s="13">
        <f>'Kasım'!$BP$17</f>
        <v/>
      </c>
    </row>
    <row r="163">
      <c r="A163" s="15">
        <f>'Aralık'!$A$17</f>
        <v/>
      </c>
      <c r="B163" s="16">
        <f>'Aralık'!$B$17</f>
        <v/>
      </c>
      <c r="C163" s="15">
        <f>'Aralık'!$C$17</f>
        <v/>
      </c>
      <c r="D163" s="15">
        <f>IF('Aralık'!$A$17="","","Aralık")</f>
        <v/>
      </c>
      <c r="E163" s="17">
        <f>'Aralık'!$BQ$17</f>
        <v/>
      </c>
      <c r="F163" s="18">
        <f>'Aralık'!$BP$17</f>
        <v/>
      </c>
      <c r="G163" s="17">
        <f>'Aralık'!$BR$17</f>
        <v/>
      </c>
    </row>
    <row r="164" ht="20" customHeight="1">
      <c r="A164" s="19">
        <f>$A$152</f>
        <v/>
      </c>
      <c r="B164" s="20">
        <f>$B$152</f>
        <v/>
      </c>
      <c r="C164" s="19">
        <f>$C$152</f>
        <v/>
      </c>
      <c r="D164" s="19">
        <f>IF($A$152="","","YILLIK TOPLAM")</f>
        <v/>
      </c>
      <c r="E164" s="21">
        <f>IF($A$152="","",SUM(E152:E163))</f>
        <v/>
      </c>
      <c r="F164" s="22">
        <f>IF($A$152="","",SUM(F152:F163))</f>
        <v/>
      </c>
      <c r="G164" s="21">
        <f>IF($A$152="","",SUM(G152:G163))</f>
        <v/>
      </c>
    </row>
    <row r="165">
      <c r="A165" s="11">
        <f>'Ocak'!$A$18</f>
        <v/>
      </c>
      <c r="B165" s="12">
        <f>'Ocak'!$B$18</f>
        <v/>
      </c>
      <c r="C165" s="11">
        <f>'Ocak'!$C$18</f>
        <v/>
      </c>
      <c r="D165" s="11">
        <f>IF('Ocak'!$A$18="","","Ocak")</f>
        <v/>
      </c>
      <c r="E165" s="13">
        <f>'Ocak'!$BQ$18</f>
        <v/>
      </c>
      <c r="F165" s="14">
        <f>'Ocak'!$BP$18</f>
        <v/>
      </c>
      <c r="G165" s="13">
        <f>'Ocak'!$BR$18</f>
        <v/>
      </c>
    </row>
    <row r="166">
      <c r="A166" s="15">
        <f>'Şubat'!$A$18</f>
        <v/>
      </c>
      <c r="B166" s="16">
        <f>'Şubat'!$B$18</f>
        <v/>
      </c>
      <c r="C166" s="15">
        <f>'Şubat'!$C$18</f>
        <v/>
      </c>
      <c r="D166" s="15">
        <f>IF('Şubat'!$A$18="","","Şubat")</f>
        <v/>
      </c>
      <c r="E166" s="17">
        <f>'Şubat'!$BK$18</f>
        <v/>
      </c>
      <c r="F166" s="18">
        <f>'Şubat'!$BJ$18</f>
        <v/>
      </c>
      <c r="G166" s="17">
        <f>'Şubat'!$BL$18</f>
        <v/>
      </c>
    </row>
    <row r="167">
      <c r="A167" s="11">
        <f>'Mart'!$A$18</f>
        <v/>
      </c>
      <c r="B167" s="12">
        <f>'Mart'!$B$18</f>
        <v/>
      </c>
      <c r="C167" s="11">
        <f>'Mart'!$C$18</f>
        <v/>
      </c>
      <c r="D167" s="11">
        <f>IF('Mart'!$A$18="","","Mart")</f>
        <v/>
      </c>
      <c r="E167" s="13">
        <f>'Mart'!$BQ$18</f>
        <v/>
      </c>
      <c r="F167" s="14">
        <f>'Mart'!$BP$18</f>
        <v/>
      </c>
      <c r="G167" s="13">
        <f>'Mart'!$BR$18</f>
        <v/>
      </c>
    </row>
    <row r="168">
      <c r="A168" s="15">
        <f>'Nisan'!$A$18</f>
        <v/>
      </c>
      <c r="B168" s="16">
        <f>'Nisan'!$B$18</f>
        <v/>
      </c>
      <c r="C168" s="15">
        <f>'Nisan'!$C$18</f>
        <v/>
      </c>
      <c r="D168" s="15">
        <f>IF('Nisan'!$A$18="","","Nisan")</f>
        <v/>
      </c>
      <c r="E168" s="17">
        <f>'Nisan'!$BO$18</f>
        <v/>
      </c>
      <c r="F168" s="18">
        <f>'Nisan'!$BN$18</f>
        <v/>
      </c>
      <c r="G168" s="17">
        <f>'Nisan'!$BP$18</f>
        <v/>
      </c>
    </row>
    <row r="169">
      <c r="A169" s="11">
        <f>'Mayıs'!$A$18</f>
        <v/>
      </c>
      <c r="B169" s="12">
        <f>'Mayıs'!$B$18</f>
        <v/>
      </c>
      <c r="C169" s="11">
        <f>'Mayıs'!$C$18</f>
        <v/>
      </c>
      <c r="D169" s="11">
        <f>IF('Mayıs'!$A$18="","","Mayıs")</f>
        <v/>
      </c>
      <c r="E169" s="13">
        <f>'Mayıs'!$BQ$18</f>
        <v/>
      </c>
      <c r="F169" s="14">
        <f>'Mayıs'!$BP$18</f>
        <v/>
      </c>
      <c r="G169" s="13">
        <f>'Mayıs'!$BR$18</f>
        <v/>
      </c>
    </row>
    <row r="170">
      <c r="A170" s="15">
        <f>'Haziran'!$A$18</f>
        <v/>
      </c>
      <c r="B170" s="16">
        <f>'Haziran'!$B$18</f>
        <v/>
      </c>
      <c r="C170" s="15">
        <f>'Haziran'!$C$18</f>
        <v/>
      </c>
      <c r="D170" s="15">
        <f>IF('Haziran'!$A$18="","","Haziran")</f>
        <v/>
      </c>
      <c r="E170" s="17">
        <f>'Haziran'!$BO$18</f>
        <v/>
      </c>
      <c r="F170" s="18">
        <f>'Haziran'!$BN$18</f>
        <v/>
      </c>
      <c r="G170" s="17">
        <f>'Haziran'!$BP$18</f>
        <v/>
      </c>
    </row>
    <row r="171">
      <c r="A171" s="11">
        <f>'Temmuz'!$A$18</f>
        <v/>
      </c>
      <c r="B171" s="12">
        <f>'Temmuz'!$B$18</f>
        <v/>
      </c>
      <c r="C171" s="11">
        <f>'Temmuz'!$C$18</f>
        <v/>
      </c>
      <c r="D171" s="11">
        <f>IF('Temmuz'!$A$18="","","Temmuz")</f>
        <v/>
      </c>
      <c r="E171" s="13">
        <f>'Temmuz'!$BQ$18</f>
        <v/>
      </c>
      <c r="F171" s="14">
        <f>'Temmuz'!$BP$18</f>
        <v/>
      </c>
      <c r="G171" s="13">
        <f>'Temmuz'!$BR$18</f>
        <v/>
      </c>
    </row>
    <row r="172">
      <c r="A172" s="15">
        <f>'Ağustos'!$A$18</f>
        <v/>
      </c>
      <c r="B172" s="16">
        <f>'Ağustos'!$B$18</f>
        <v/>
      </c>
      <c r="C172" s="15">
        <f>'Ağustos'!$C$18</f>
        <v/>
      </c>
      <c r="D172" s="15">
        <f>IF('Ağustos'!$A$18="","","Ağustos")</f>
        <v/>
      </c>
      <c r="E172" s="17">
        <f>'Ağustos'!$BQ$18</f>
        <v/>
      </c>
      <c r="F172" s="18">
        <f>'Ağustos'!$BP$18</f>
        <v/>
      </c>
      <c r="G172" s="17">
        <f>'Ağustos'!$BR$18</f>
        <v/>
      </c>
    </row>
    <row r="173">
      <c r="A173" s="11">
        <f>'Eylül'!$A$18</f>
        <v/>
      </c>
      <c r="B173" s="12">
        <f>'Eylül'!$B$18</f>
        <v/>
      </c>
      <c r="C173" s="11">
        <f>'Eylül'!$C$18</f>
        <v/>
      </c>
      <c r="D173" s="11">
        <f>IF('Eylül'!$A$18="","","Eylül")</f>
        <v/>
      </c>
      <c r="E173" s="13">
        <f>'Eylül'!$BO$18</f>
        <v/>
      </c>
      <c r="F173" s="14">
        <f>'Eylül'!$BN$18</f>
        <v/>
      </c>
      <c r="G173" s="13">
        <f>'Eylül'!$BP$18</f>
        <v/>
      </c>
    </row>
    <row r="174">
      <c r="A174" s="15">
        <f>'Ekim'!$A$18</f>
        <v/>
      </c>
      <c r="B174" s="16">
        <f>'Ekim'!$B$18</f>
        <v/>
      </c>
      <c r="C174" s="15">
        <f>'Ekim'!$C$18</f>
        <v/>
      </c>
      <c r="D174" s="15">
        <f>IF('Ekim'!$A$18="","","Ekim")</f>
        <v/>
      </c>
      <c r="E174" s="17">
        <f>'Ekim'!$BQ$18</f>
        <v/>
      </c>
      <c r="F174" s="18">
        <f>'Ekim'!$BP$18</f>
        <v/>
      </c>
      <c r="G174" s="17">
        <f>'Ekim'!$BR$18</f>
        <v/>
      </c>
    </row>
    <row r="175">
      <c r="A175" s="11">
        <f>'Kasım'!$A$18</f>
        <v/>
      </c>
      <c r="B175" s="12">
        <f>'Kasım'!$B$18</f>
        <v/>
      </c>
      <c r="C175" s="11">
        <f>'Kasım'!$C$18</f>
        <v/>
      </c>
      <c r="D175" s="11">
        <f>IF('Kasım'!$A$18="","","Kasım")</f>
        <v/>
      </c>
      <c r="E175" s="13">
        <f>'Kasım'!$BO$18</f>
        <v/>
      </c>
      <c r="F175" s="14">
        <f>'Kasım'!$BN$18</f>
        <v/>
      </c>
      <c r="G175" s="13">
        <f>'Kasım'!$BP$18</f>
        <v/>
      </c>
    </row>
    <row r="176">
      <c r="A176" s="15">
        <f>'Aralık'!$A$18</f>
        <v/>
      </c>
      <c r="B176" s="16">
        <f>'Aralık'!$B$18</f>
        <v/>
      </c>
      <c r="C176" s="15">
        <f>'Aralık'!$C$18</f>
        <v/>
      </c>
      <c r="D176" s="15">
        <f>IF('Aralık'!$A$18="","","Aralık")</f>
        <v/>
      </c>
      <c r="E176" s="17">
        <f>'Aralık'!$BQ$18</f>
        <v/>
      </c>
      <c r="F176" s="18">
        <f>'Aralık'!$BP$18</f>
        <v/>
      </c>
      <c r="G176" s="17">
        <f>'Aralık'!$BR$18</f>
        <v/>
      </c>
    </row>
    <row r="177" ht="20" customHeight="1">
      <c r="A177" s="19">
        <f>$A$165</f>
        <v/>
      </c>
      <c r="B177" s="20">
        <f>$B$165</f>
        <v/>
      </c>
      <c r="C177" s="19">
        <f>$C$165</f>
        <v/>
      </c>
      <c r="D177" s="19">
        <f>IF($A$165="","","YILLIK TOPLAM")</f>
        <v/>
      </c>
      <c r="E177" s="21">
        <f>IF($A$165="","",SUM(E165:E176))</f>
        <v/>
      </c>
      <c r="F177" s="22">
        <f>IF($A$165="","",SUM(F165:F176))</f>
        <v/>
      </c>
      <c r="G177" s="21">
        <f>IF($A$165="","",SUM(G165:G176))</f>
        <v/>
      </c>
    </row>
    <row r="178">
      <c r="A178" s="11">
        <f>'Ocak'!$A$19</f>
        <v/>
      </c>
      <c r="B178" s="12">
        <f>'Ocak'!$B$19</f>
        <v/>
      </c>
      <c r="C178" s="11">
        <f>'Ocak'!$C$19</f>
        <v/>
      </c>
      <c r="D178" s="11">
        <f>IF('Ocak'!$A$19="","","Ocak")</f>
        <v/>
      </c>
      <c r="E178" s="13">
        <f>'Ocak'!$BQ$19</f>
        <v/>
      </c>
      <c r="F178" s="14">
        <f>'Ocak'!$BP$19</f>
        <v/>
      </c>
      <c r="G178" s="13">
        <f>'Ocak'!$BR$19</f>
        <v/>
      </c>
    </row>
    <row r="179">
      <c r="A179" s="15">
        <f>'Şubat'!$A$19</f>
        <v/>
      </c>
      <c r="B179" s="16">
        <f>'Şubat'!$B$19</f>
        <v/>
      </c>
      <c r="C179" s="15">
        <f>'Şubat'!$C$19</f>
        <v/>
      </c>
      <c r="D179" s="15">
        <f>IF('Şubat'!$A$19="","","Şubat")</f>
        <v/>
      </c>
      <c r="E179" s="17">
        <f>'Şubat'!$BK$19</f>
        <v/>
      </c>
      <c r="F179" s="18">
        <f>'Şubat'!$BJ$19</f>
        <v/>
      </c>
      <c r="G179" s="17">
        <f>'Şubat'!$BL$19</f>
        <v/>
      </c>
    </row>
    <row r="180">
      <c r="A180" s="11">
        <f>'Mart'!$A$19</f>
        <v/>
      </c>
      <c r="B180" s="12">
        <f>'Mart'!$B$19</f>
        <v/>
      </c>
      <c r="C180" s="11">
        <f>'Mart'!$C$19</f>
        <v/>
      </c>
      <c r="D180" s="11">
        <f>IF('Mart'!$A$19="","","Mart")</f>
        <v/>
      </c>
      <c r="E180" s="13">
        <f>'Mart'!$BQ$19</f>
        <v/>
      </c>
      <c r="F180" s="14">
        <f>'Mart'!$BP$19</f>
        <v/>
      </c>
      <c r="G180" s="13">
        <f>'Mart'!$BR$19</f>
        <v/>
      </c>
    </row>
    <row r="181">
      <c r="A181" s="15">
        <f>'Nisan'!$A$19</f>
        <v/>
      </c>
      <c r="B181" s="16">
        <f>'Nisan'!$B$19</f>
        <v/>
      </c>
      <c r="C181" s="15">
        <f>'Nisan'!$C$19</f>
        <v/>
      </c>
      <c r="D181" s="15">
        <f>IF('Nisan'!$A$19="","","Nisan")</f>
        <v/>
      </c>
      <c r="E181" s="17">
        <f>'Nisan'!$BO$19</f>
        <v/>
      </c>
      <c r="F181" s="18">
        <f>'Nisan'!$BN$19</f>
        <v/>
      </c>
      <c r="G181" s="17">
        <f>'Nisan'!$BP$19</f>
        <v/>
      </c>
    </row>
    <row r="182">
      <c r="A182" s="11">
        <f>'Mayıs'!$A$19</f>
        <v/>
      </c>
      <c r="B182" s="12">
        <f>'Mayıs'!$B$19</f>
        <v/>
      </c>
      <c r="C182" s="11">
        <f>'Mayıs'!$C$19</f>
        <v/>
      </c>
      <c r="D182" s="11">
        <f>IF('Mayıs'!$A$19="","","Mayıs")</f>
        <v/>
      </c>
      <c r="E182" s="13">
        <f>'Mayıs'!$BQ$19</f>
        <v/>
      </c>
      <c r="F182" s="14">
        <f>'Mayıs'!$BP$19</f>
        <v/>
      </c>
      <c r="G182" s="13">
        <f>'Mayıs'!$BR$19</f>
        <v/>
      </c>
    </row>
    <row r="183">
      <c r="A183" s="15">
        <f>'Haziran'!$A$19</f>
        <v/>
      </c>
      <c r="B183" s="16">
        <f>'Haziran'!$B$19</f>
        <v/>
      </c>
      <c r="C183" s="15">
        <f>'Haziran'!$C$19</f>
        <v/>
      </c>
      <c r="D183" s="15">
        <f>IF('Haziran'!$A$19="","","Haziran")</f>
        <v/>
      </c>
      <c r="E183" s="17">
        <f>'Haziran'!$BO$19</f>
        <v/>
      </c>
      <c r="F183" s="18">
        <f>'Haziran'!$BN$19</f>
        <v/>
      </c>
      <c r="G183" s="17">
        <f>'Haziran'!$BP$19</f>
        <v/>
      </c>
    </row>
    <row r="184">
      <c r="A184" s="11">
        <f>'Temmuz'!$A$19</f>
        <v/>
      </c>
      <c r="B184" s="12">
        <f>'Temmuz'!$B$19</f>
        <v/>
      </c>
      <c r="C184" s="11">
        <f>'Temmuz'!$C$19</f>
        <v/>
      </c>
      <c r="D184" s="11">
        <f>IF('Temmuz'!$A$19="","","Temmuz")</f>
        <v/>
      </c>
      <c r="E184" s="13">
        <f>'Temmuz'!$BQ$19</f>
        <v/>
      </c>
      <c r="F184" s="14">
        <f>'Temmuz'!$BP$19</f>
        <v/>
      </c>
      <c r="G184" s="13">
        <f>'Temmuz'!$BR$19</f>
        <v/>
      </c>
    </row>
    <row r="185">
      <c r="A185" s="15">
        <f>'Ağustos'!$A$19</f>
        <v/>
      </c>
      <c r="B185" s="16">
        <f>'Ağustos'!$B$19</f>
        <v/>
      </c>
      <c r="C185" s="15">
        <f>'Ağustos'!$C$19</f>
        <v/>
      </c>
      <c r="D185" s="15">
        <f>IF('Ağustos'!$A$19="","","Ağustos")</f>
        <v/>
      </c>
      <c r="E185" s="17">
        <f>'Ağustos'!$BQ$19</f>
        <v/>
      </c>
      <c r="F185" s="18">
        <f>'Ağustos'!$BP$19</f>
        <v/>
      </c>
      <c r="G185" s="17">
        <f>'Ağustos'!$BR$19</f>
        <v/>
      </c>
    </row>
    <row r="186">
      <c r="A186" s="11">
        <f>'Eylül'!$A$19</f>
        <v/>
      </c>
      <c r="B186" s="12">
        <f>'Eylül'!$B$19</f>
        <v/>
      </c>
      <c r="C186" s="11">
        <f>'Eylül'!$C$19</f>
        <v/>
      </c>
      <c r="D186" s="11">
        <f>IF('Eylül'!$A$19="","","Eylül")</f>
        <v/>
      </c>
      <c r="E186" s="13">
        <f>'Eylül'!$BO$19</f>
        <v/>
      </c>
      <c r="F186" s="14">
        <f>'Eylül'!$BN$19</f>
        <v/>
      </c>
      <c r="G186" s="13">
        <f>'Eylül'!$BP$19</f>
        <v/>
      </c>
    </row>
    <row r="187">
      <c r="A187" s="15">
        <f>'Ekim'!$A$19</f>
        <v/>
      </c>
      <c r="B187" s="16">
        <f>'Ekim'!$B$19</f>
        <v/>
      </c>
      <c r="C187" s="15">
        <f>'Ekim'!$C$19</f>
        <v/>
      </c>
      <c r="D187" s="15">
        <f>IF('Ekim'!$A$19="","","Ekim")</f>
        <v/>
      </c>
      <c r="E187" s="17">
        <f>'Ekim'!$BQ$19</f>
        <v/>
      </c>
      <c r="F187" s="18">
        <f>'Ekim'!$BP$19</f>
        <v/>
      </c>
      <c r="G187" s="17">
        <f>'Ekim'!$BR$19</f>
        <v/>
      </c>
    </row>
    <row r="188">
      <c r="A188" s="11">
        <f>'Kasım'!$A$19</f>
        <v/>
      </c>
      <c r="B188" s="12">
        <f>'Kasım'!$B$19</f>
        <v/>
      </c>
      <c r="C188" s="11">
        <f>'Kasım'!$C$19</f>
        <v/>
      </c>
      <c r="D188" s="11">
        <f>IF('Kasım'!$A$19="","","Kasım")</f>
        <v/>
      </c>
      <c r="E188" s="13">
        <f>'Kasım'!$BO$19</f>
        <v/>
      </c>
      <c r="F188" s="14">
        <f>'Kasım'!$BN$19</f>
        <v/>
      </c>
      <c r="G188" s="13">
        <f>'Kasım'!$BP$19</f>
        <v/>
      </c>
    </row>
    <row r="189">
      <c r="A189" s="15">
        <f>'Aralık'!$A$19</f>
        <v/>
      </c>
      <c r="B189" s="16">
        <f>'Aralık'!$B$19</f>
        <v/>
      </c>
      <c r="C189" s="15">
        <f>'Aralık'!$C$19</f>
        <v/>
      </c>
      <c r="D189" s="15">
        <f>IF('Aralık'!$A$19="","","Aralık")</f>
        <v/>
      </c>
      <c r="E189" s="17">
        <f>'Aralık'!$BQ$19</f>
        <v/>
      </c>
      <c r="F189" s="18">
        <f>'Aralık'!$BP$19</f>
        <v/>
      </c>
      <c r="G189" s="17">
        <f>'Aralık'!$BR$19</f>
        <v/>
      </c>
    </row>
    <row r="190" ht="20" customHeight="1">
      <c r="A190" s="19">
        <f>$A$178</f>
        <v/>
      </c>
      <c r="B190" s="20">
        <f>$B$178</f>
        <v/>
      </c>
      <c r="C190" s="19">
        <f>$C$178</f>
        <v/>
      </c>
      <c r="D190" s="19">
        <f>IF($A$178="","","YILLIK TOPLAM")</f>
        <v/>
      </c>
      <c r="E190" s="21">
        <f>IF($A$178="","",SUM(E178:E189))</f>
        <v/>
      </c>
      <c r="F190" s="22">
        <f>IF($A$178="","",SUM(F178:F189))</f>
        <v/>
      </c>
      <c r="G190" s="21">
        <f>IF($A$178="","",SUM(G178:G189))</f>
        <v/>
      </c>
    </row>
    <row r="191">
      <c r="A191" s="11">
        <f>'Ocak'!$A$20</f>
        <v/>
      </c>
      <c r="B191" s="12">
        <f>'Ocak'!$B$20</f>
        <v/>
      </c>
      <c r="C191" s="11">
        <f>'Ocak'!$C$20</f>
        <v/>
      </c>
      <c r="D191" s="11">
        <f>IF('Ocak'!$A$20="","","Ocak")</f>
        <v/>
      </c>
      <c r="E191" s="13">
        <f>'Ocak'!$BQ$20</f>
        <v/>
      </c>
      <c r="F191" s="14">
        <f>'Ocak'!$BP$20</f>
        <v/>
      </c>
      <c r="G191" s="13">
        <f>'Ocak'!$BR$20</f>
        <v/>
      </c>
    </row>
    <row r="192">
      <c r="A192" s="15">
        <f>'Şubat'!$A$20</f>
        <v/>
      </c>
      <c r="B192" s="16">
        <f>'Şubat'!$B$20</f>
        <v/>
      </c>
      <c r="C192" s="15">
        <f>'Şubat'!$C$20</f>
        <v/>
      </c>
      <c r="D192" s="15">
        <f>IF('Şubat'!$A$20="","","Şubat")</f>
        <v/>
      </c>
      <c r="E192" s="17">
        <f>'Şubat'!$BK$20</f>
        <v/>
      </c>
      <c r="F192" s="18">
        <f>'Şubat'!$BJ$20</f>
        <v/>
      </c>
      <c r="G192" s="17">
        <f>'Şubat'!$BL$20</f>
        <v/>
      </c>
    </row>
    <row r="193">
      <c r="A193" s="11">
        <f>'Mart'!$A$20</f>
        <v/>
      </c>
      <c r="B193" s="12">
        <f>'Mart'!$B$20</f>
        <v/>
      </c>
      <c r="C193" s="11">
        <f>'Mart'!$C$20</f>
        <v/>
      </c>
      <c r="D193" s="11">
        <f>IF('Mart'!$A$20="","","Mart")</f>
        <v/>
      </c>
      <c r="E193" s="13">
        <f>'Mart'!$BQ$20</f>
        <v/>
      </c>
      <c r="F193" s="14">
        <f>'Mart'!$BP$20</f>
        <v/>
      </c>
      <c r="G193" s="13">
        <f>'Mart'!$BR$20</f>
        <v/>
      </c>
    </row>
    <row r="194">
      <c r="A194" s="15">
        <f>'Nisan'!$A$20</f>
        <v/>
      </c>
      <c r="B194" s="16">
        <f>'Nisan'!$B$20</f>
        <v/>
      </c>
      <c r="C194" s="15">
        <f>'Nisan'!$C$20</f>
        <v/>
      </c>
      <c r="D194" s="15">
        <f>IF('Nisan'!$A$20="","","Nisan")</f>
        <v/>
      </c>
      <c r="E194" s="17">
        <f>'Nisan'!$BO$20</f>
        <v/>
      </c>
      <c r="F194" s="18">
        <f>'Nisan'!$BN$20</f>
        <v/>
      </c>
      <c r="G194" s="17">
        <f>'Nisan'!$BP$20</f>
        <v/>
      </c>
    </row>
    <row r="195">
      <c r="A195" s="11">
        <f>'Mayıs'!$A$20</f>
        <v/>
      </c>
      <c r="B195" s="12">
        <f>'Mayıs'!$B$20</f>
        <v/>
      </c>
      <c r="C195" s="11">
        <f>'Mayıs'!$C$20</f>
        <v/>
      </c>
      <c r="D195" s="11">
        <f>IF('Mayıs'!$A$20="","","Mayıs")</f>
        <v/>
      </c>
      <c r="E195" s="13">
        <f>'Mayıs'!$BQ$20</f>
        <v/>
      </c>
      <c r="F195" s="14">
        <f>'Mayıs'!$BP$20</f>
        <v/>
      </c>
      <c r="G195" s="13">
        <f>'Mayıs'!$BR$20</f>
        <v/>
      </c>
    </row>
    <row r="196">
      <c r="A196" s="15">
        <f>'Haziran'!$A$20</f>
        <v/>
      </c>
      <c r="B196" s="16">
        <f>'Haziran'!$B$20</f>
        <v/>
      </c>
      <c r="C196" s="15">
        <f>'Haziran'!$C$20</f>
        <v/>
      </c>
      <c r="D196" s="15">
        <f>IF('Haziran'!$A$20="","","Haziran")</f>
        <v/>
      </c>
      <c r="E196" s="17">
        <f>'Haziran'!$BO$20</f>
        <v/>
      </c>
      <c r="F196" s="18">
        <f>'Haziran'!$BN$20</f>
        <v/>
      </c>
      <c r="G196" s="17">
        <f>'Haziran'!$BP$20</f>
        <v/>
      </c>
    </row>
    <row r="197">
      <c r="A197" s="11">
        <f>'Temmuz'!$A$20</f>
        <v/>
      </c>
      <c r="B197" s="12">
        <f>'Temmuz'!$B$20</f>
        <v/>
      </c>
      <c r="C197" s="11">
        <f>'Temmuz'!$C$20</f>
        <v/>
      </c>
      <c r="D197" s="11">
        <f>IF('Temmuz'!$A$20="","","Temmuz")</f>
        <v/>
      </c>
      <c r="E197" s="13">
        <f>'Temmuz'!$BQ$20</f>
        <v/>
      </c>
      <c r="F197" s="14">
        <f>'Temmuz'!$BP$20</f>
        <v/>
      </c>
      <c r="G197" s="13">
        <f>'Temmuz'!$BR$20</f>
        <v/>
      </c>
    </row>
    <row r="198">
      <c r="A198" s="15">
        <f>'Ağustos'!$A$20</f>
        <v/>
      </c>
      <c r="B198" s="16">
        <f>'Ağustos'!$B$20</f>
        <v/>
      </c>
      <c r="C198" s="15">
        <f>'Ağustos'!$C$20</f>
        <v/>
      </c>
      <c r="D198" s="15">
        <f>IF('Ağustos'!$A$20="","","Ağustos")</f>
        <v/>
      </c>
      <c r="E198" s="17">
        <f>'Ağustos'!$BQ$20</f>
        <v/>
      </c>
      <c r="F198" s="18">
        <f>'Ağustos'!$BP$20</f>
        <v/>
      </c>
      <c r="G198" s="17">
        <f>'Ağustos'!$BR$20</f>
        <v/>
      </c>
    </row>
    <row r="199">
      <c r="A199" s="11">
        <f>'Eylül'!$A$20</f>
        <v/>
      </c>
      <c r="B199" s="12">
        <f>'Eylül'!$B$20</f>
        <v/>
      </c>
      <c r="C199" s="11">
        <f>'Eylül'!$C$20</f>
        <v/>
      </c>
      <c r="D199" s="11">
        <f>IF('Eylül'!$A$20="","","Eylül")</f>
        <v/>
      </c>
      <c r="E199" s="13">
        <f>'Eylül'!$BO$20</f>
        <v/>
      </c>
      <c r="F199" s="14">
        <f>'Eylül'!$BN$20</f>
        <v/>
      </c>
      <c r="G199" s="13">
        <f>'Eylül'!$BP$20</f>
        <v/>
      </c>
    </row>
    <row r="200">
      <c r="A200" s="15">
        <f>'Ekim'!$A$20</f>
        <v/>
      </c>
      <c r="B200" s="16">
        <f>'Ekim'!$B$20</f>
        <v/>
      </c>
      <c r="C200" s="15">
        <f>'Ekim'!$C$20</f>
        <v/>
      </c>
      <c r="D200" s="15">
        <f>IF('Ekim'!$A$20="","","Ekim")</f>
        <v/>
      </c>
      <c r="E200" s="17">
        <f>'Ekim'!$BQ$20</f>
        <v/>
      </c>
      <c r="F200" s="18">
        <f>'Ekim'!$BP$20</f>
        <v/>
      </c>
      <c r="G200" s="17">
        <f>'Ekim'!$BR$20</f>
        <v/>
      </c>
    </row>
    <row r="201">
      <c r="A201" s="11">
        <f>'Kasım'!$A$20</f>
        <v/>
      </c>
      <c r="B201" s="12">
        <f>'Kasım'!$B$20</f>
        <v/>
      </c>
      <c r="C201" s="11">
        <f>'Kasım'!$C$20</f>
        <v/>
      </c>
      <c r="D201" s="11">
        <f>IF('Kasım'!$A$20="","","Kasım")</f>
        <v/>
      </c>
      <c r="E201" s="13">
        <f>'Kasım'!$BO$20</f>
        <v/>
      </c>
      <c r="F201" s="14">
        <f>'Kasım'!$BN$20</f>
        <v/>
      </c>
      <c r="G201" s="13">
        <f>'Kasım'!$BP$20</f>
        <v/>
      </c>
    </row>
    <row r="202">
      <c r="A202" s="15">
        <f>'Aralık'!$A$20</f>
        <v/>
      </c>
      <c r="B202" s="16">
        <f>'Aralık'!$B$20</f>
        <v/>
      </c>
      <c r="C202" s="15">
        <f>'Aralık'!$C$20</f>
        <v/>
      </c>
      <c r="D202" s="15">
        <f>IF('Aralık'!$A$20="","","Aralık")</f>
        <v/>
      </c>
      <c r="E202" s="17">
        <f>'Aralık'!$BQ$20</f>
        <v/>
      </c>
      <c r="F202" s="18">
        <f>'Aralık'!$BP$20</f>
        <v/>
      </c>
      <c r="G202" s="17">
        <f>'Aralık'!$BR$20</f>
        <v/>
      </c>
    </row>
    <row r="203" ht="20" customHeight="1">
      <c r="A203" s="19">
        <f>$A$191</f>
        <v/>
      </c>
      <c r="B203" s="20">
        <f>$B$191</f>
        <v/>
      </c>
      <c r="C203" s="19">
        <f>$C$191</f>
        <v/>
      </c>
      <c r="D203" s="19">
        <f>IF($A$191="","","YILLIK TOPLAM")</f>
        <v/>
      </c>
      <c r="E203" s="21">
        <f>IF($A$191="","",SUM(E191:E202))</f>
        <v/>
      </c>
      <c r="F203" s="22">
        <f>IF($A$191="","",SUM(F191:F202))</f>
        <v/>
      </c>
      <c r="G203" s="21">
        <f>IF($A$191="","",SUM(G191:G202))</f>
        <v/>
      </c>
    </row>
  </sheetData>
  <autoFilter ref="A7:G203"/>
  <mergeCells count="10">
    <mergeCell ref="A4:B4"/>
    <mergeCell ref="F4:G4"/>
    <mergeCell ref="A1:G1"/>
    <mergeCell ref="E4"/>
    <mergeCell ref="F5:G5"/>
    <mergeCell ref="C5:D5"/>
    <mergeCell ref="A5:B5"/>
    <mergeCell ref="A2:G2"/>
    <mergeCell ref="E5"/>
    <mergeCell ref="C4:D4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1" customWidth="1" min="4" max="4"/>
    <col width="11" customWidth="1" min="5" max="5"/>
    <col width="13" customWidth="1" min="6" max="6"/>
    <col width="15" customWidth="1" min="7" max="7"/>
    <col width="15" customWidth="1" min="8" max="8"/>
    <col width="12" customWidth="1" min="9" max="9"/>
  </cols>
  <sheetData>
    <row r="1" ht="36" customHeight="1">
      <c r="A1" s="1" t="inlineStr">
        <is>
          <t>2026 YILI AYLIK PERSONEL PUANTAJ VE MESAİ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4" customHeight="1">
      <c r="A3" s="23" t="inlineStr">
        <is>
          <t>RAPOR AYI  ▸</t>
        </is>
      </c>
      <c r="B3" s="23" t="n"/>
      <c r="C3" s="24" t="inlineStr">
        <is>
          <t>Ocak</t>
        </is>
      </c>
      <c r="D3" s="25">
        <f>"Takvim gün sayısı: "&amp;CHOOSE(MATCH($C$3,{"Ocak","Şubat","Mart","Nisan","Mayıs","Haziran","Temmuz","Ağustos","Eylül","Ekim","Kasım","Aralık"},0),31,28,31,30,31,30,31,31,30,31,30,31)&amp;"   |   Ay seçimini sarı hücreden değiştirin."</f>
        <v/>
      </c>
    </row>
    <row r="5" ht="28" customHeight="1">
      <c r="A5" s="10" t="inlineStr">
        <is>
          <t>Sicil No</t>
        </is>
      </c>
      <c r="B5" s="10" t="inlineStr">
        <is>
          <t>Ad Soyad</t>
        </is>
      </c>
      <c r="C5" s="10" t="inlineStr">
        <is>
          <t>Departman</t>
        </is>
      </c>
      <c r="D5" s="10" t="inlineStr">
        <is>
          <t>Tam Gün</t>
        </is>
      </c>
      <c r="E5" s="10" t="inlineStr">
        <is>
          <t>Yarım Gün</t>
        </is>
      </c>
      <c r="F5" s="10" t="inlineStr">
        <is>
          <t>Gelmediği Gün</t>
        </is>
      </c>
      <c r="G5" s="10" t="inlineStr">
        <is>
          <t>Fiili Çalışılan Gün</t>
        </is>
      </c>
      <c r="H5" s="10" t="inlineStr">
        <is>
          <t>Toplam Mesai (Saat)</t>
        </is>
      </c>
      <c r="I5" s="10" t="inlineStr">
        <is>
          <t>Devam Oranı</t>
        </is>
      </c>
    </row>
    <row r="6">
      <c r="A6" s="26">
        <f>IF(Personel_Listesi!A5="","",Personel_Listesi!A5)</f>
        <v/>
      </c>
      <c r="B6" s="27">
        <f>IF($A6="","",UPPER(Personel_Listesi!B5))</f>
        <v/>
      </c>
      <c r="C6" s="11">
        <f>IF($A6="","",Personel_Listesi!C5)</f>
        <v/>
      </c>
      <c r="D6" s="14">
        <f>IF($A6="","",CHOOSE(MATCH($C$3,{"Ocak","Şubat","Mart","Nisan","Mayıs","Haziran","Temmuz","Ağustos","Eylül","Ekim","Kasım","Aralık"},0),'Ocak'!$BN$6,'Şubat'!$BH$6,'Mart'!$BN$6,'Nisan'!$BL$6,'Mayıs'!$BN$6,'Haziran'!$BL$6,'Temmuz'!$BN$6,'Ağustos'!$BN$6,'Eylül'!$BL$6,'Ekim'!$BN$6,'Kasım'!$BL$6,'Aralık'!$BN$6))</f>
        <v/>
      </c>
      <c r="E6" s="14">
        <f>IF($A6="","",CHOOSE(MATCH($C$3,{"Ocak","Şubat","Mart","Nisan","Mayıs","Haziran","Temmuz","Ağustos","Eylül","Ekim","Kasım","Aralık"},0),'Ocak'!$BO$6,'Şubat'!$BI$6,'Mart'!$BO$6,'Nisan'!$BM$6,'Mayıs'!$BO$6,'Haziran'!$BM$6,'Temmuz'!$BO$6,'Ağustos'!$BO$6,'Eylül'!$BM$6,'Ekim'!$BO$6,'Kasım'!$BM$6,'Aralık'!$BO$6))</f>
        <v/>
      </c>
      <c r="F6" s="14">
        <f>IF($A6="","",CHOOSE(MATCH($C$3,{"Ocak","Şubat","Mart","Nisan","Mayıs","Haziran","Temmuz","Ağustos","Eylül","Ekim","Kasım","Aralık"},0),'Ocak'!$BP$6,'Şubat'!$BJ$6,'Mart'!$BP$6,'Nisan'!$BN$6,'Mayıs'!$BP$6,'Haziran'!$BN$6,'Temmuz'!$BP$6,'Ağustos'!$BP$6,'Eylül'!$BN$6,'Ekim'!$BP$6,'Kasım'!$BN$6,'Aralık'!$BP$6))</f>
        <v/>
      </c>
      <c r="G6" s="13">
        <f>IF($A6="","",CHOOSE(MATCH($C$3,{"Ocak","Şubat","Mart","Nisan","Mayıs","Haziran","Temmuz","Ağustos","Eylül","Ekim","Kasım","Aralık"},0),'Ocak'!$BQ$6,'Şubat'!$BK$6,'Mart'!$BQ$6,'Nisan'!$BO$6,'Mayıs'!$BQ$6,'Haziran'!$BO$6,'Temmuz'!$BQ$6,'Ağustos'!$BQ$6,'Eylül'!$BO$6,'Ekim'!$BQ$6,'Kasım'!$BO$6,'Aralık'!$BQ$6))</f>
        <v/>
      </c>
      <c r="H6" s="13">
        <f>IF($A6="","",CHOOSE(MATCH($C$3,{"Ocak","Şubat","Mart","Nisan","Mayıs","Haziran","Temmuz","Ağustos","Eylül","Ekim","Kasım","Aralık"},0),'Ocak'!$BR$6,'Şubat'!$BL$6,'Mart'!$BR$6,'Nisan'!$BP$6,'Mayıs'!$BR$6,'Haziran'!$BP$6,'Temmuz'!$BR$6,'Ağustos'!$BR$6,'Eylül'!$BP$6,'Ekim'!$BR$6,'Kasım'!$BP$6,'Aralık'!$BR$6))</f>
        <v/>
      </c>
      <c r="I6" s="28">
        <f>IF($A6="","",IF(D6+E6+F6=0,"",G6/(D6+E6+F6)))</f>
        <v/>
      </c>
    </row>
    <row r="7">
      <c r="A7" s="29">
        <f>IF(Personel_Listesi!A6="","",Personel_Listesi!A6)</f>
        <v/>
      </c>
      <c r="B7" s="30">
        <f>IF($A7="","",UPPER(Personel_Listesi!B6))</f>
        <v/>
      </c>
      <c r="C7" s="15">
        <f>IF($A7="","",Personel_Listesi!C6)</f>
        <v/>
      </c>
      <c r="D7" s="18">
        <f>IF($A7="","",CHOOSE(MATCH($C$3,{"Ocak","Şubat","Mart","Nisan","Mayıs","Haziran","Temmuz","Ağustos","Eylül","Ekim","Kasım","Aralık"},0),'Ocak'!$BN$7,'Şubat'!$BH$7,'Mart'!$BN$7,'Nisan'!$BL$7,'Mayıs'!$BN$7,'Haziran'!$BL$7,'Temmuz'!$BN$7,'Ağustos'!$BN$7,'Eylül'!$BL$7,'Ekim'!$BN$7,'Kasım'!$BL$7,'Aralık'!$BN$7))</f>
        <v/>
      </c>
      <c r="E7" s="18">
        <f>IF($A7="","",CHOOSE(MATCH($C$3,{"Ocak","Şubat","Mart","Nisan","Mayıs","Haziran","Temmuz","Ağustos","Eylül","Ekim","Kasım","Aralık"},0),'Ocak'!$BO$7,'Şubat'!$BI$7,'Mart'!$BO$7,'Nisan'!$BM$7,'Mayıs'!$BO$7,'Haziran'!$BM$7,'Temmuz'!$BO$7,'Ağustos'!$BO$7,'Eylül'!$BM$7,'Ekim'!$BO$7,'Kasım'!$BM$7,'Aralık'!$BO$7))</f>
        <v/>
      </c>
      <c r="F7" s="18">
        <f>IF($A7="","",CHOOSE(MATCH($C$3,{"Ocak","Şubat","Mart","Nisan","Mayıs","Haziran","Temmuz","Ağustos","Eylül","Ekim","Kasım","Aralık"},0),'Ocak'!$BP$7,'Şubat'!$BJ$7,'Mart'!$BP$7,'Nisan'!$BN$7,'Mayıs'!$BP$7,'Haziran'!$BN$7,'Temmuz'!$BP$7,'Ağustos'!$BP$7,'Eylül'!$BN$7,'Ekim'!$BP$7,'Kasım'!$BN$7,'Aralık'!$BP$7))</f>
        <v/>
      </c>
      <c r="G7" s="17">
        <f>IF($A7="","",CHOOSE(MATCH($C$3,{"Ocak","Şubat","Mart","Nisan","Mayıs","Haziran","Temmuz","Ağustos","Eylül","Ekim","Kasım","Aralık"},0),'Ocak'!$BQ$7,'Şubat'!$BK$7,'Mart'!$BQ$7,'Nisan'!$BO$7,'Mayıs'!$BQ$7,'Haziran'!$BO$7,'Temmuz'!$BQ$7,'Ağustos'!$BQ$7,'Eylül'!$BO$7,'Ekim'!$BQ$7,'Kasım'!$BO$7,'Aralık'!$BQ$7))</f>
        <v/>
      </c>
      <c r="H7" s="17">
        <f>IF($A7="","",CHOOSE(MATCH($C$3,{"Ocak","Şubat","Mart","Nisan","Mayıs","Haziran","Temmuz","Ağustos","Eylül","Ekim","Kasım","Aralık"},0),'Ocak'!$BR$7,'Şubat'!$BL$7,'Mart'!$BR$7,'Nisan'!$BP$7,'Mayıs'!$BR$7,'Haziran'!$BP$7,'Temmuz'!$BR$7,'Ağustos'!$BR$7,'Eylül'!$BP$7,'Ekim'!$BR$7,'Kasım'!$BP$7,'Aralık'!$BR$7))</f>
        <v/>
      </c>
      <c r="I7" s="31">
        <f>IF($A7="","",IF(D7+E7+F7=0,"",G7/(D7+E7+F7)))</f>
        <v/>
      </c>
    </row>
    <row r="8">
      <c r="A8" s="26">
        <f>IF(Personel_Listesi!A7="","",Personel_Listesi!A7)</f>
        <v/>
      </c>
      <c r="B8" s="27">
        <f>IF($A8="","",UPPER(Personel_Listesi!B7))</f>
        <v/>
      </c>
      <c r="C8" s="11">
        <f>IF($A8="","",Personel_Listesi!C7)</f>
        <v/>
      </c>
      <c r="D8" s="14">
        <f>IF($A8="","",CHOOSE(MATCH($C$3,{"Ocak","Şubat","Mart","Nisan","Mayıs","Haziran","Temmuz","Ağustos","Eylül","Ekim","Kasım","Aralık"},0),'Ocak'!$BN$8,'Şubat'!$BH$8,'Mart'!$BN$8,'Nisan'!$BL$8,'Mayıs'!$BN$8,'Haziran'!$BL$8,'Temmuz'!$BN$8,'Ağustos'!$BN$8,'Eylül'!$BL$8,'Ekim'!$BN$8,'Kasım'!$BL$8,'Aralık'!$BN$8))</f>
        <v/>
      </c>
      <c r="E8" s="14">
        <f>IF($A8="","",CHOOSE(MATCH($C$3,{"Ocak","Şubat","Mart","Nisan","Mayıs","Haziran","Temmuz","Ağustos","Eylül","Ekim","Kasım","Aralık"},0),'Ocak'!$BO$8,'Şubat'!$BI$8,'Mart'!$BO$8,'Nisan'!$BM$8,'Mayıs'!$BO$8,'Haziran'!$BM$8,'Temmuz'!$BO$8,'Ağustos'!$BO$8,'Eylül'!$BM$8,'Ekim'!$BO$8,'Kasım'!$BM$8,'Aralık'!$BO$8))</f>
        <v/>
      </c>
      <c r="F8" s="14">
        <f>IF($A8="","",CHOOSE(MATCH($C$3,{"Ocak","Şubat","Mart","Nisan","Mayıs","Haziran","Temmuz","Ağustos","Eylül","Ekim","Kasım","Aralık"},0),'Ocak'!$BP$8,'Şubat'!$BJ$8,'Mart'!$BP$8,'Nisan'!$BN$8,'Mayıs'!$BP$8,'Haziran'!$BN$8,'Temmuz'!$BP$8,'Ağustos'!$BP$8,'Eylül'!$BN$8,'Ekim'!$BP$8,'Kasım'!$BN$8,'Aralık'!$BP$8))</f>
        <v/>
      </c>
      <c r="G8" s="13">
        <f>IF($A8="","",CHOOSE(MATCH($C$3,{"Ocak","Şubat","Mart","Nisan","Mayıs","Haziran","Temmuz","Ağustos","Eylül","Ekim","Kasım","Aralık"},0),'Ocak'!$BQ$8,'Şubat'!$BK$8,'Mart'!$BQ$8,'Nisan'!$BO$8,'Mayıs'!$BQ$8,'Haziran'!$BO$8,'Temmuz'!$BQ$8,'Ağustos'!$BQ$8,'Eylül'!$BO$8,'Ekim'!$BQ$8,'Kasım'!$BO$8,'Aralık'!$BQ$8))</f>
        <v/>
      </c>
      <c r="H8" s="13">
        <f>IF($A8="","",CHOOSE(MATCH($C$3,{"Ocak","Şubat","Mart","Nisan","Mayıs","Haziran","Temmuz","Ağustos","Eylül","Ekim","Kasım","Aralık"},0),'Ocak'!$BR$8,'Şubat'!$BL$8,'Mart'!$BR$8,'Nisan'!$BP$8,'Mayıs'!$BR$8,'Haziran'!$BP$8,'Temmuz'!$BR$8,'Ağustos'!$BR$8,'Eylül'!$BP$8,'Ekim'!$BR$8,'Kasım'!$BP$8,'Aralık'!$BR$8))</f>
        <v/>
      </c>
      <c r="I8" s="28">
        <f>IF($A8="","",IF(D8+E8+F8=0,"",G8/(D8+E8+F8)))</f>
        <v/>
      </c>
    </row>
    <row r="9">
      <c r="A9" s="29">
        <f>IF(Personel_Listesi!A8="","",Personel_Listesi!A8)</f>
        <v/>
      </c>
      <c r="B9" s="30">
        <f>IF($A9="","",UPPER(Personel_Listesi!B8))</f>
        <v/>
      </c>
      <c r="C9" s="15">
        <f>IF($A9="","",Personel_Listesi!C8)</f>
        <v/>
      </c>
      <c r="D9" s="18">
        <f>IF($A9="","",CHOOSE(MATCH($C$3,{"Ocak","Şubat","Mart","Nisan","Mayıs","Haziran","Temmuz","Ağustos","Eylül","Ekim","Kasım","Aralık"},0),'Ocak'!$BN$9,'Şubat'!$BH$9,'Mart'!$BN$9,'Nisan'!$BL$9,'Mayıs'!$BN$9,'Haziran'!$BL$9,'Temmuz'!$BN$9,'Ağustos'!$BN$9,'Eylül'!$BL$9,'Ekim'!$BN$9,'Kasım'!$BL$9,'Aralık'!$BN$9))</f>
        <v/>
      </c>
      <c r="E9" s="18">
        <f>IF($A9="","",CHOOSE(MATCH($C$3,{"Ocak","Şubat","Mart","Nisan","Mayıs","Haziran","Temmuz","Ağustos","Eylül","Ekim","Kasım","Aralık"},0),'Ocak'!$BO$9,'Şubat'!$BI$9,'Mart'!$BO$9,'Nisan'!$BM$9,'Mayıs'!$BO$9,'Haziran'!$BM$9,'Temmuz'!$BO$9,'Ağustos'!$BO$9,'Eylül'!$BM$9,'Ekim'!$BO$9,'Kasım'!$BM$9,'Aralık'!$BO$9))</f>
        <v/>
      </c>
      <c r="F9" s="18">
        <f>IF($A9="","",CHOOSE(MATCH($C$3,{"Ocak","Şubat","Mart","Nisan","Mayıs","Haziran","Temmuz","Ağustos","Eylül","Ekim","Kasım","Aralık"},0),'Ocak'!$BP$9,'Şubat'!$BJ$9,'Mart'!$BP$9,'Nisan'!$BN$9,'Mayıs'!$BP$9,'Haziran'!$BN$9,'Temmuz'!$BP$9,'Ağustos'!$BP$9,'Eylül'!$BN$9,'Ekim'!$BP$9,'Kasım'!$BN$9,'Aralık'!$BP$9))</f>
        <v/>
      </c>
      <c r="G9" s="17">
        <f>IF($A9="","",CHOOSE(MATCH($C$3,{"Ocak","Şubat","Mart","Nisan","Mayıs","Haziran","Temmuz","Ağustos","Eylül","Ekim","Kasım","Aralık"},0),'Ocak'!$BQ$9,'Şubat'!$BK$9,'Mart'!$BQ$9,'Nisan'!$BO$9,'Mayıs'!$BQ$9,'Haziran'!$BO$9,'Temmuz'!$BQ$9,'Ağustos'!$BQ$9,'Eylül'!$BO$9,'Ekim'!$BQ$9,'Kasım'!$BO$9,'Aralık'!$BQ$9))</f>
        <v/>
      </c>
      <c r="H9" s="17">
        <f>IF($A9="","",CHOOSE(MATCH($C$3,{"Ocak","Şubat","Mart","Nisan","Mayıs","Haziran","Temmuz","Ağustos","Eylül","Ekim","Kasım","Aralık"},0),'Ocak'!$BR$9,'Şubat'!$BL$9,'Mart'!$BR$9,'Nisan'!$BP$9,'Mayıs'!$BR$9,'Haziran'!$BP$9,'Temmuz'!$BR$9,'Ağustos'!$BR$9,'Eylül'!$BP$9,'Ekim'!$BR$9,'Kasım'!$BP$9,'Aralık'!$BR$9))</f>
        <v/>
      </c>
      <c r="I9" s="31">
        <f>IF($A9="","",IF(D9+E9+F9=0,"",G9/(D9+E9+F9)))</f>
        <v/>
      </c>
    </row>
    <row r="10">
      <c r="A10" s="26">
        <f>IF(Personel_Listesi!A9="","",Personel_Listesi!A9)</f>
        <v/>
      </c>
      <c r="B10" s="27">
        <f>IF($A10="","",UPPER(Personel_Listesi!B9))</f>
        <v/>
      </c>
      <c r="C10" s="11">
        <f>IF($A10="","",Personel_Listesi!C9)</f>
        <v/>
      </c>
      <c r="D10" s="14">
        <f>IF($A10="","",CHOOSE(MATCH($C$3,{"Ocak","Şubat","Mart","Nisan","Mayıs","Haziran","Temmuz","Ağustos","Eylül","Ekim","Kasım","Aralık"},0),'Ocak'!$BN$10,'Şubat'!$BH$10,'Mart'!$BN$10,'Nisan'!$BL$10,'Mayıs'!$BN$10,'Haziran'!$BL$10,'Temmuz'!$BN$10,'Ağustos'!$BN$10,'Eylül'!$BL$10,'Ekim'!$BN$10,'Kasım'!$BL$10,'Aralık'!$BN$10))</f>
        <v/>
      </c>
      <c r="E10" s="14">
        <f>IF($A10="","",CHOOSE(MATCH($C$3,{"Ocak","Şubat","Mart","Nisan","Mayıs","Haziran","Temmuz","Ağustos","Eylül","Ekim","Kasım","Aralık"},0),'Ocak'!$BO$10,'Şubat'!$BI$10,'Mart'!$BO$10,'Nisan'!$BM$10,'Mayıs'!$BO$10,'Haziran'!$BM$10,'Temmuz'!$BO$10,'Ağustos'!$BO$10,'Eylül'!$BM$10,'Ekim'!$BO$10,'Kasım'!$BM$10,'Aralık'!$BO$10))</f>
        <v/>
      </c>
      <c r="F10" s="14">
        <f>IF($A10="","",CHOOSE(MATCH($C$3,{"Ocak","Şubat","Mart","Nisan","Mayıs","Haziran","Temmuz","Ağustos","Eylül","Ekim","Kasım","Aralık"},0),'Ocak'!$BP$10,'Şubat'!$BJ$10,'Mart'!$BP$10,'Nisan'!$BN$10,'Mayıs'!$BP$10,'Haziran'!$BN$10,'Temmuz'!$BP$10,'Ağustos'!$BP$10,'Eylül'!$BN$10,'Ekim'!$BP$10,'Kasım'!$BN$10,'Aralık'!$BP$10))</f>
        <v/>
      </c>
      <c r="G10" s="13">
        <f>IF($A10="","",CHOOSE(MATCH($C$3,{"Ocak","Şubat","Mart","Nisan","Mayıs","Haziran","Temmuz","Ağustos","Eylül","Ekim","Kasım","Aralık"},0),'Ocak'!$BQ$10,'Şubat'!$BK$10,'Mart'!$BQ$10,'Nisan'!$BO$10,'Mayıs'!$BQ$10,'Haziran'!$BO$10,'Temmuz'!$BQ$10,'Ağustos'!$BQ$10,'Eylül'!$BO$10,'Ekim'!$BQ$10,'Kasım'!$BO$10,'Aralık'!$BQ$10))</f>
        <v/>
      </c>
      <c r="H10" s="13">
        <f>IF($A10="","",CHOOSE(MATCH($C$3,{"Ocak","Şubat","Mart","Nisan","Mayıs","Haziran","Temmuz","Ağustos","Eylül","Ekim","Kasım","Aralık"},0),'Ocak'!$BR$10,'Şubat'!$BL$10,'Mart'!$BR$10,'Nisan'!$BP$10,'Mayıs'!$BR$10,'Haziran'!$BP$10,'Temmuz'!$BR$10,'Ağustos'!$BR$10,'Eylül'!$BP$10,'Ekim'!$BR$10,'Kasım'!$BP$10,'Aralık'!$BR$10))</f>
        <v/>
      </c>
      <c r="I10" s="28">
        <f>IF($A10="","",IF(D10+E10+F10=0,"",G10/(D10+E10+F10)))</f>
        <v/>
      </c>
    </row>
    <row r="11">
      <c r="A11" s="29">
        <f>IF(Personel_Listesi!A10="","",Personel_Listesi!A10)</f>
        <v/>
      </c>
      <c r="B11" s="30">
        <f>IF($A11="","",UPPER(Personel_Listesi!B10))</f>
        <v/>
      </c>
      <c r="C11" s="15">
        <f>IF($A11="","",Personel_Listesi!C10)</f>
        <v/>
      </c>
      <c r="D11" s="18">
        <f>IF($A11="","",CHOOSE(MATCH($C$3,{"Ocak","Şubat","Mart","Nisan","Mayıs","Haziran","Temmuz","Ağustos","Eylül","Ekim","Kasım","Aralık"},0),'Ocak'!$BN$11,'Şubat'!$BH$11,'Mart'!$BN$11,'Nisan'!$BL$11,'Mayıs'!$BN$11,'Haziran'!$BL$11,'Temmuz'!$BN$11,'Ağustos'!$BN$11,'Eylül'!$BL$11,'Ekim'!$BN$11,'Kasım'!$BL$11,'Aralık'!$BN$11))</f>
        <v/>
      </c>
      <c r="E11" s="18">
        <f>IF($A11="","",CHOOSE(MATCH($C$3,{"Ocak","Şubat","Mart","Nisan","Mayıs","Haziran","Temmuz","Ağustos","Eylül","Ekim","Kasım","Aralık"},0),'Ocak'!$BO$11,'Şubat'!$BI$11,'Mart'!$BO$11,'Nisan'!$BM$11,'Mayıs'!$BO$11,'Haziran'!$BM$11,'Temmuz'!$BO$11,'Ağustos'!$BO$11,'Eylül'!$BM$11,'Ekim'!$BO$11,'Kasım'!$BM$11,'Aralık'!$BO$11))</f>
        <v/>
      </c>
      <c r="F11" s="18">
        <f>IF($A11="","",CHOOSE(MATCH($C$3,{"Ocak","Şubat","Mart","Nisan","Mayıs","Haziran","Temmuz","Ağustos","Eylül","Ekim","Kasım","Aralık"},0),'Ocak'!$BP$11,'Şubat'!$BJ$11,'Mart'!$BP$11,'Nisan'!$BN$11,'Mayıs'!$BP$11,'Haziran'!$BN$11,'Temmuz'!$BP$11,'Ağustos'!$BP$11,'Eylül'!$BN$11,'Ekim'!$BP$11,'Kasım'!$BN$11,'Aralık'!$BP$11))</f>
        <v/>
      </c>
      <c r="G11" s="17">
        <f>IF($A11="","",CHOOSE(MATCH($C$3,{"Ocak","Şubat","Mart","Nisan","Mayıs","Haziran","Temmuz","Ağustos","Eylül","Ekim","Kasım","Aralık"},0),'Ocak'!$BQ$11,'Şubat'!$BK$11,'Mart'!$BQ$11,'Nisan'!$BO$11,'Mayıs'!$BQ$11,'Haziran'!$BO$11,'Temmuz'!$BQ$11,'Ağustos'!$BQ$11,'Eylül'!$BO$11,'Ekim'!$BQ$11,'Kasım'!$BO$11,'Aralık'!$BQ$11))</f>
        <v/>
      </c>
      <c r="H11" s="17">
        <f>IF($A11="","",CHOOSE(MATCH($C$3,{"Ocak","Şubat","Mart","Nisan","Mayıs","Haziran","Temmuz","Ağustos","Eylül","Ekim","Kasım","Aralık"},0),'Ocak'!$BR$11,'Şubat'!$BL$11,'Mart'!$BR$11,'Nisan'!$BP$11,'Mayıs'!$BR$11,'Haziran'!$BP$11,'Temmuz'!$BR$11,'Ağustos'!$BR$11,'Eylül'!$BP$11,'Ekim'!$BR$11,'Kasım'!$BP$11,'Aralık'!$BR$11))</f>
        <v/>
      </c>
      <c r="I11" s="31">
        <f>IF($A11="","",IF(D11+E11+F11=0,"",G11/(D11+E11+F11)))</f>
        <v/>
      </c>
    </row>
    <row r="12">
      <c r="A12" s="26">
        <f>IF(Personel_Listesi!A11="","",Personel_Listesi!A11)</f>
        <v/>
      </c>
      <c r="B12" s="27">
        <f>IF($A12="","",UPPER(Personel_Listesi!B11))</f>
        <v/>
      </c>
      <c r="C12" s="11">
        <f>IF($A12="","",Personel_Listesi!C11)</f>
        <v/>
      </c>
      <c r="D12" s="14">
        <f>IF($A12="","",CHOOSE(MATCH($C$3,{"Ocak","Şubat","Mart","Nisan","Mayıs","Haziran","Temmuz","Ağustos","Eylül","Ekim","Kasım","Aralık"},0),'Ocak'!$BN$12,'Şubat'!$BH$12,'Mart'!$BN$12,'Nisan'!$BL$12,'Mayıs'!$BN$12,'Haziran'!$BL$12,'Temmuz'!$BN$12,'Ağustos'!$BN$12,'Eylül'!$BL$12,'Ekim'!$BN$12,'Kasım'!$BL$12,'Aralık'!$BN$12))</f>
        <v/>
      </c>
      <c r="E12" s="14">
        <f>IF($A12="","",CHOOSE(MATCH($C$3,{"Ocak","Şubat","Mart","Nisan","Mayıs","Haziran","Temmuz","Ağustos","Eylül","Ekim","Kasım","Aralık"},0),'Ocak'!$BO$12,'Şubat'!$BI$12,'Mart'!$BO$12,'Nisan'!$BM$12,'Mayıs'!$BO$12,'Haziran'!$BM$12,'Temmuz'!$BO$12,'Ağustos'!$BO$12,'Eylül'!$BM$12,'Ekim'!$BO$12,'Kasım'!$BM$12,'Aralık'!$BO$12))</f>
        <v/>
      </c>
      <c r="F12" s="14">
        <f>IF($A12="","",CHOOSE(MATCH($C$3,{"Ocak","Şubat","Mart","Nisan","Mayıs","Haziran","Temmuz","Ağustos","Eylül","Ekim","Kasım","Aralık"},0),'Ocak'!$BP$12,'Şubat'!$BJ$12,'Mart'!$BP$12,'Nisan'!$BN$12,'Mayıs'!$BP$12,'Haziran'!$BN$12,'Temmuz'!$BP$12,'Ağustos'!$BP$12,'Eylül'!$BN$12,'Ekim'!$BP$12,'Kasım'!$BN$12,'Aralık'!$BP$12))</f>
        <v/>
      </c>
      <c r="G12" s="13">
        <f>IF($A12="","",CHOOSE(MATCH($C$3,{"Ocak","Şubat","Mart","Nisan","Mayıs","Haziran","Temmuz","Ağustos","Eylül","Ekim","Kasım","Aralık"},0),'Ocak'!$BQ$12,'Şubat'!$BK$12,'Mart'!$BQ$12,'Nisan'!$BO$12,'Mayıs'!$BQ$12,'Haziran'!$BO$12,'Temmuz'!$BQ$12,'Ağustos'!$BQ$12,'Eylül'!$BO$12,'Ekim'!$BQ$12,'Kasım'!$BO$12,'Aralık'!$BQ$12))</f>
        <v/>
      </c>
      <c r="H12" s="13">
        <f>IF($A12="","",CHOOSE(MATCH($C$3,{"Ocak","Şubat","Mart","Nisan","Mayıs","Haziran","Temmuz","Ağustos","Eylül","Ekim","Kasım","Aralık"},0),'Ocak'!$BR$12,'Şubat'!$BL$12,'Mart'!$BR$12,'Nisan'!$BP$12,'Mayıs'!$BR$12,'Haziran'!$BP$12,'Temmuz'!$BR$12,'Ağustos'!$BR$12,'Eylül'!$BP$12,'Ekim'!$BR$12,'Kasım'!$BP$12,'Aralık'!$BR$12))</f>
        <v/>
      </c>
      <c r="I12" s="28">
        <f>IF($A12="","",IF(D12+E12+F12=0,"",G12/(D12+E12+F12)))</f>
        <v/>
      </c>
    </row>
    <row r="13">
      <c r="A13" s="29">
        <f>IF(Personel_Listesi!A12="","",Personel_Listesi!A12)</f>
        <v/>
      </c>
      <c r="B13" s="30">
        <f>IF($A13="","",UPPER(Personel_Listesi!B12))</f>
        <v/>
      </c>
      <c r="C13" s="15">
        <f>IF($A13="","",Personel_Listesi!C12)</f>
        <v/>
      </c>
      <c r="D13" s="18">
        <f>IF($A13="","",CHOOSE(MATCH($C$3,{"Ocak","Şubat","Mart","Nisan","Mayıs","Haziran","Temmuz","Ağustos","Eylül","Ekim","Kasım","Aralık"},0),'Ocak'!$BN$13,'Şubat'!$BH$13,'Mart'!$BN$13,'Nisan'!$BL$13,'Mayıs'!$BN$13,'Haziran'!$BL$13,'Temmuz'!$BN$13,'Ağustos'!$BN$13,'Eylül'!$BL$13,'Ekim'!$BN$13,'Kasım'!$BL$13,'Aralık'!$BN$13))</f>
        <v/>
      </c>
      <c r="E13" s="18">
        <f>IF($A13="","",CHOOSE(MATCH($C$3,{"Ocak","Şubat","Mart","Nisan","Mayıs","Haziran","Temmuz","Ağustos","Eylül","Ekim","Kasım","Aralık"},0),'Ocak'!$BO$13,'Şubat'!$BI$13,'Mart'!$BO$13,'Nisan'!$BM$13,'Mayıs'!$BO$13,'Haziran'!$BM$13,'Temmuz'!$BO$13,'Ağustos'!$BO$13,'Eylül'!$BM$13,'Ekim'!$BO$13,'Kasım'!$BM$13,'Aralık'!$BO$13))</f>
        <v/>
      </c>
      <c r="F13" s="18">
        <f>IF($A13="","",CHOOSE(MATCH($C$3,{"Ocak","Şubat","Mart","Nisan","Mayıs","Haziran","Temmuz","Ağustos","Eylül","Ekim","Kasım","Aralık"},0),'Ocak'!$BP$13,'Şubat'!$BJ$13,'Mart'!$BP$13,'Nisan'!$BN$13,'Mayıs'!$BP$13,'Haziran'!$BN$13,'Temmuz'!$BP$13,'Ağustos'!$BP$13,'Eylül'!$BN$13,'Ekim'!$BP$13,'Kasım'!$BN$13,'Aralık'!$BP$13))</f>
        <v/>
      </c>
      <c r="G13" s="17">
        <f>IF($A13="","",CHOOSE(MATCH($C$3,{"Ocak","Şubat","Mart","Nisan","Mayıs","Haziran","Temmuz","Ağustos","Eylül","Ekim","Kasım","Aralık"},0),'Ocak'!$BQ$13,'Şubat'!$BK$13,'Mart'!$BQ$13,'Nisan'!$BO$13,'Mayıs'!$BQ$13,'Haziran'!$BO$13,'Temmuz'!$BQ$13,'Ağustos'!$BQ$13,'Eylül'!$BO$13,'Ekim'!$BQ$13,'Kasım'!$BO$13,'Aralık'!$BQ$13))</f>
        <v/>
      </c>
      <c r="H13" s="17">
        <f>IF($A13="","",CHOOSE(MATCH($C$3,{"Ocak","Şubat","Mart","Nisan","Mayıs","Haziran","Temmuz","Ağustos","Eylül","Ekim","Kasım","Aralık"},0),'Ocak'!$BR$13,'Şubat'!$BL$13,'Mart'!$BR$13,'Nisan'!$BP$13,'Mayıs'!$BR$13,'Haziran'!$BP$13,'Temmuz'!$BR$13,'Ağustos'!$BR$13,'Eylül'!$BP$13,'Ekim'!$BR$13,'Kasım'!$BP$13,'Aralık'!$BR$13))</f>
        <v/>
      </c>
      <c r="I13" s="31">
        <f>IF($A13="","",IF(D13+E13+F13=0,"",G13/(D13+E13+F13)))</f>
        <v/>
      </c>
    </row>
    <row r="14">
      <c r="A14" s="26">
        <f>IF(Personel_Listesi!A13="","",Personel_Listesi!A13)</f>
        <v/>
      </c>
      <c r="B14" s="27">
        <f>IF($A14="","",UPPER(Personel_Listesi!B13))</f>
        <v/>
      </c>
      <c r="C14" s="11">
        <f>IF($A14="","",Personel_Listesi!C13)</f>
        <v/>
      </c>
      <c r="D14" s="14">
        <f>IF($A14="","",CHOOSE(MATCH($C$3,{"Ocak","Şubat","Mart","Nisan","Mayıs","Haziran","Temmuz","Ağustos","Eylül","Ekim","Kasım","Aralık"},0),'Ocak'!$BN$14,'Şubat'!$BH$14,'Mart'!$BN$14,'Nisan'!$BL$14,'Mayıs'!$BN$14,'Haziran'!$BL$14,'Temmuz'!$BN$14,'Ağustos'!$BN$14,'Eylül'!$BL$14,'Ekim'!$BN$14,'Kasım'!$BL$14,'Aralık'!$BN$14))</f>
        <v/>
      </c>
      <c r="E14" s="14">
        <f>IF($A14="","",CHOOSE(MATCH($C$3,{"Ocak","Şubat","Mart","Nisan","Mayıs","Haziran","Temmuz","Ağustos","Eylül","Ekim","Kasım","Aralık"},0),'Ocak'!$BO$14,'Şubat'!$BI$14,'Mart'!$BO$14,'Nisan'!$BM$14,'Mayıs'!$BO$14,'Haziran'!$BM$14,'Temmuz'!$BO$14,'Ağustos'!$BO$14,'Eylül'!$BM$14,'Ekim'!$BO$14,'Kasım'!$BM$14,'Aralık'!$BO$14))</f>
        <v/>
      </c>
      <c r="F14" s="14">
        <f>IF($A14="","",CHOOSE(MATCH($C$3,{"Ocak","Şubat","Mart","Nisan","Mayıs","Haziran","Temmuz","Ağustos","Eylül","Ekim","Kasım","Aralık"},0),'Ocak'!$BP$14,'Şubat'!$BJ$14,'Mart'!$BP$14,'Nisan'!$BN$14,'Mayıs'!$BP$14,'Haziran'!$BN$14,'Temmuz'!$BP$14,'Ağustos'!$BP$14,'Eylül'!$BN$14,'Ekim'!$BP$14,'Kasım'!$BN$14,'Aralık'!$BP$14))</f>
        <v/>
      </c>
      <c r="G14" s="13">
        <f>IF($A14="","",CHOOSE(MATCH($C$3,{"Ocak","Şubat","Mart","Nisan","Mayıs","Haziran","Temmuz","Ağustos","Eylül","Ekim","Kasım","Aralık"},0),'Ocak'!$BQ$14,'Şubat'!$BK$14,'Mart'!$BQ$14,'Nisan'!$BO$14,'Mayıs'!$BQ$14,'Haziran'!$BO$14,'Temmuz'!$BQ$14,'Ağustos'!$BQ$14,'Eylül'!$BO$14,'Ekim'!$BQ$14,'Kasım'!$BO$14,'Aralık'!$BQ$14))</f>
        <v/>
      </c>
      <c r="H14" s="13">
        <f>IF($A14="","",CHOOSE(MATCH($C$3,{"Ocak","Şubat","Mart","Nisan","Mayıs","Haziran","Temmuz","Ağustos","Eylül","Ekim","Kasım","Aralık"},0),'Ocak'!$BR$14,'Şubat'!$BL$14,'Mart'!$BR$14,'Nisan'!$BP$14,'Mayıs'!$BR$14,'Haziran'!$BP$14,'Temmuz'!$BR$14,'Ağustos'!$BR$14,'Eylül'!$BP$14,'Ekim'!$BR$14,'Kasım'!$BP$14,'Aralık'!$BR$14))</f>
        <v/>
      </c>
      <c r="I14" s="28">
        <f>IF($A14="","",IF(D14+E14+F14=0,"",G14/(D14+E14+F14)))</f>
        <v/>
      </c>
    </row>
    <row r="15">
      <c r="A15" s="29">
        <f>IF(Personel_Listesi!A14="","",Personel_Listesi!A14)</f>
        <v/>
      </c>
      <c r="B15" s="30">
        <f>IF($A15="","",UPPER(Personel_Listesi!B14))</f>
        <v/>
      </c>
      <c r="C15" s="15">
        <f>IF($A15="","",Personel_Listesi!C14)</f>
        <v/>
      </c>
      <c r="D15" s="18">
        <f>IF($A15="","",CHOOSE(MATCH($C$3,{"Ocak","Şubat","Mart","Nisan","Mayıs","Haziran","Temmuz","Ağustos","Eylül","Ekim","Kasım","Aralık"},0),'Ocak'!$BN$15,'Şubat'!$BH$15,'Mart'!$BN$15,'Nisan'!$BL$15,'Mayıs'!$BN$15,'Haziran'!$BL$15,'Temmuz'!$BN$15,'Ağustos'!$BN$15,'Eylül'!$BL$15,'Ekim'!$BN$15,'Kasım'!$BL$15,'Aralık'!$BN$15))</f>
        <v/>
      </c>
      <c r="E15" s="18">
        <f>IF($A15="","",CHOOSE(MATCH($C$3,{"Ocak","Şubat","Mart","Nisan","Mayıs","Haziran","Temmuz","Ağustos","Eylül","Ekim","Kasım","Aralık"},0),'Ocak'!$BO$15,'Şubat'!$BI$15,'Mart'!$BO$15,'Nisan'!$BM$15,'Mayıs'!$BO$15,'Haziran'!$BM$15,'Temmuz'!$BO$15,'Ağustos'!$BO$15,'Eylül'!$BM$15,'Ekim'!$BO$15,'Kasım'!$BM$15,'Aralık'!$BO$15))</f>
        <v/>
      </c>
      <c r="F15" s="18">
        <f>IF($A15="","",CHOOSE(MATCH($C$3,{"Ocak","Şubat","Mart","Nisan","Mayıs","Haziran","Temmuz","Ağustos","Eylül","Ekim","Kasım","Aralık"},0),'Ocak'!$BP$15,'Şubat'!$BJ$15,'Mart'!$BP$15,'Nisan'!$BN$15,'Mayıs'!$BP$15,'Haziran'!$BN$15,'Temmuz'!$BP$15,'Ağustos'!$BP$15,'Eylül'!$BN$15,'Ekim'!$BP$15,'Kasım'!$BN$15,'Aralık'!$BP$15))</f>
        <v/>
      </c>
      <c r="G15" s="17">
        <f>IF($A15="","",CHOOSE(MATCH($C$3,{"Ocak","Şubat","Mart","Nisan","Mayıs","Haziran","Temmuz","Ağustos","Eylül","Ekim","Kasım","Aralık"},0),'Ocak'!$BQ$15,'Şubat'!$BK$15,'Mart'!$BQ$15,'Nisan'!$BO$15,'Mayıs'!$BQ$15,'Haziran'!$BO$15,'Temmuz'!$BQ$15,'Ağustos'!$BQ$15,'Eylül'!$BO$15,'Ekim'!$BQ$15,'Kasım'!$BO$15,'Aralık'!$BQ$15))</f>
        <v/>
      </c>
      <c r="H15" s="17">
        <f>IF($A15="","",CHOOSE(MATCH($C$3,{"Ocak","Şubat","Mart","Nisan","Mayıs","Haziran","Temmuz","Ağustos","Eylül","Ekim","Kasım","Aralık"},0),'Ocak'!$BR$15,'Şubat'!$BL$15,'Mart'!$BR$15,'Nisan'!$BP$15,'Mayıs'!$BR$15,'Haziran'!$BP$15,'Temmuz'!$BR$15,'Ağustos'!$BR$15,'Eylül'!$BP$15,'Ekim'!$BR$15,'Kasım'!$BP$15,'Aralık'!$BR$15))</f>
        <v/>
      </c>
      <c r="I15" s="31">
        <f>IF($A15="","",IF(D15+E15+F15=0,"",G15/(D15+E15+F15)))</f>
        <v/>
      </c>
    </row>
    <row r="16">
      <c r="A16" s="26">
        <f>IF(Personel_Listesi!A15="","",Personel_Listesi!A15)</f>
        <v/>
      </c>
      <c r="B16" s="27">
        <f>IF($A16="","",UPPER(Personel_Listesi!B15))</f>
        <v/>
      </c>
      <c r="C16" s="11">
        <f>IF($A16="","",Personel_Listesi!C15)</f>
        <v/>
      </c>
      <c r="D16" s="14">
        <f>IF($A16="","",CHOOSE(MATCH($C$3,{"Ocak","Şubat","Mart","Nisan","Mayıs","Haziran","Temmuz","Ağustos","Eylül","Ekim","Kasım","Aralık"},0),'Ocak'!$BN$16,'Şubat'!$BH$16,'Mart'!$BN$16,'Nisan'!$BL$16,'Mayıs'!$BN$16,'Haziran'!$BL$16,'Temmuz'!$BN$16,'Ağustos'!$BN$16,'Eylül'!$BL$16,'Ekim'!$BN$16,'Kasım'!$BL$16,'Aralık'!$BN$16))</f>
        <v/>
      </c>
      <c r="E16" s="14">
        <f>IF($A16="","",CHOOSE(MATCH($C$3,{"Ocak","Şubat","Mart","Nisan","Mayıs","Haziran","Temmuz","Ağustos","Eylül","Ekim","Kasım","Aralık"},0),'Ocak'!$BO$16,'Şubat'!$BI$16,'Mart'!$BO$16,'Nisan'!$BM$16,'Mayıs'!$BO$16,'Haziran'!$BM$16,'Temmuz'!$BO$16,'Ağustos'!$BO$16,'Eylül'!$BM$16,'Ekim'!$BO$16,'Kasım'!$BM$16,'Aralık'!$BO$16))</f>
        <v/>
      </c>
      <c r="F16" s="14">
        <f>IF($A16="","",CHOOSE(MATCH($C$3,{"Ocak","Şubat","Mart","Nisan","Mayıs","Haziran","Temmuz","Ağustos","Eylül","Ekim","Kasım","Aralık"},0),'Ocak'!$BP$16,'Şubat'!$BJ$16,'Mart'!$BP$16,'Nisan'!$BN$16,'Mayıs'!$BP$16,'Haziran'!$BN$16,'Temmuz'!$BP$16,'Ağustos'!$BP$16,'Eylül'!$BN$16,'Ekim'!$BP$16,'Kasım'!$BN$16,'Aralık'!$BP$16))</f>
        <v/>
      </c>
      <c r="G16" s="13">
        <f>IF($A16="","",CHOOSE(MATCH($C$3,{"Ocak","Şubat","Mart","Nisan","Mayıs","Haziran","Temmuz","Ağustos","Eylül","Ekim","Kasım","Aralık"},0),'Ocak'!$BQ$16,'Şubat'!$BK$16,'Mart'!$BQ$16,'Nisan'!$BO$16,'Mayıs'!$BQ$16,'Haziran'!$BO$16,'Temmuz'!$BQ$16,'Ağustos'!$BQ$16,'Eylül'!$BO$16,'Ekim'!$BQ$16,'Kasım'!$BO$16,'Aralık'!$BQ$16))</f>
        <v/>
      </c>
      <c r="H16" s="13">
        <f>IF($A16="","",CHOOSE(MATCH($C$3,{"Ocak","Şubat","Mart","Nisan","Mayıs","Haziran","Temmuz","Ağustos","Eylül","Ekim","Kasım","Aralık"},0),'Ocak'!$BR$16,'Şubat'!$BL$16,'Mart'!$BR$16,'Nisan'!$BP$16,'Mayıs'!$BR$16,'Haziran'!$BP$16,'Temmuz'!$BR$16,'Ağustos'!$BR$16,'Eylül'!$BP$16,'Ekim'!$BR$16,'Kasım'!$BP$16,'Aralık'!$BR$16))</f>
        <v/>
      </c>
      <c r="I16" s="28">
        <f>IF($A16="","",IF(D16+E16+F16=0,"",G16/(D16+E16+F16)))</f>
        <v/>
      </c>
    </row>
    <row r="17">
      <c r="A17" s="29">
        <f>IF(Personel_Listesi!A16="","",Personel_Listesi!A16)</f>
        <v/>
      </c>
      <c r="B17" s="30">
        <f>IF($A17="","",UPPER(Personel_Listesi!B16))</f>
        <v/>
      </c>
      <c r="C17" s="15">
        <f>IF($A17="","",Personel_Listesi!C16)</f>
        <v/>
      </c>
      <c r="D17" s="18">
        <f>IF($A17="","",CHOOSE(MATCH($C$3,{"Ocak","Şubat","Mart","Nisan","Mayıs","Haziran","Temmuz","Ağustos","Eylül","Ekim","Kasım","Aralık"},0),'Ocak'!$BN$17,'Şubat'!$BH$17,'Mart'!$BN$17,'Nisan'!$BL$17,'Mayıs'!$BN$17,'Haziran'!$BL$17,'Temmuz'!$BN$17,'Ağustos'!$BN$17,'Eylül'!$BL$17,'Ekim'!$BN$17,'Kasım'!$BL$17,'Aralık'!$BN$17))</f>
        <v/>
      </c>
      <c r="E17" s="18">
        <f>IF($A17="","",CHOOSE(MATCH($C$3,{"Ocak","Şubat","Mart","Nisan","Mayıs","Haziran","Temmuz","Ağustos","Eylül","Ekim","Kasım","Aralık"},0),'Ocak'!$BO$17,'Şubat'!$BI$17,'Mart'!$BO$17,'Nisan'!$BM$17,'Mayıs'!$BO$17,'Haziran'!$BM$17,'Temmuz'!$BO$17,'Ağustos'!$BO$17,'Eylül'!$BM$17,'Ekim'!$BO$17,'Kasım'!$BM$17,'Aralık'!$BO$17))</f>
        <v/>
      </c>
      <c r="F17" s="18">
        <f>IF($A17="","",CHOOSE(MATCH($C$3,{"Ocak","Şubat","Mart","Nisan","Mayıs","Haziran","Temmuz","Ağustos","Eylül","Ekim","Kasım","Aralık"},0),'Ocak'!$BP$17,'Şubat'!$BJ$17,'Mart'!$BP$17,'Nisan'!$BN$17,'Mayıs'!$BP$17,'Haziran'!$BN$17,'Temmuz'!$BP$17,'Ağustos'!$BP$17,'Eylül'!$BN$17,'Ekim'!$BP$17,'Kasım'!$BN$17,'Aralık'!$BP$17))</f>
        <v/>
      </c>
      <c r="G17" s="17">
        <f>IF($A17="","",CHOOSE(MATCH($C$3,{"Ocak","Şubat","Mart","Nisan","Mayıs","Haziran","Temmuz","Ağustos","Eylül","Ekim","Kasım","Aralık"},0),'Ocak'!$BQ$17,'Şubat'!$BK$17,'Mart'!$BQ$17,'Nisan'!$BO$17,'Mayıs'!$BQ$17,'Haziran'!$BO$17,'Temmuz'!$BQ$17,'Ağustos'!$BQ$17,'Eylül'!$BO$17,'Ekim'!$BQ$17,'Kasım'!$BO$17,'Aralık'!$BQ$17))</f>
        <v/>
      </c>
      <c r="H17" s="17">
        <f>IF($A17="","",CHOOSE(MATCH($C$3,{"Ocak","Şubat","Mart","Nisan","Mayıs","Haziran","Temmuz","Ağustos","Eylül","Ekim","Kasım","Aralık"},0),'Ocak'!$BR$17,'Şubat'!$BL$17,'Mart'!$BR$17,'Nisan'!$BP$17,'Mayıs'!$BR$17,'Haziran'!$BP$17,'Temmuz'!$BR$17,'Ağustos'!$BR$17,'Eylül'!$BP$17,'Ekim'!$BR$17,'Kasım'!$BP$17,'Aralık'!$BR$17))</f>
        <v/>
      </c>
      <c r="I17" s="31">
        <f>IF($A17="","",IF(D17+E17+F17=0,"",G17/(D17+E17+F17)))</f>
        <v/>
      </c>
    </row>
    <row r="18">
      <c r="A18" s="26">
        <f>IF(Personel_Listesi!A17="","",Personel_Listesi!A17)</f>
        <v/>
      </c>
      <c r="B18" s="27">
        <f>IF($A18="","",UPPER(Personel_Listesi!B17))</f>
        <v/>
      </c>
      <c r="C18" s="11">
        <f>IF($A18="","",Personel_Listesi!C17)</f>
        <v/>
      </c>
      <c r="D18" s="14">
        <f>IF($A18="","",CHOOSE(MATCH($C$3,{"Ocak","Şubat","Mart","Nisan","Mayıs","Haziran","Temmuz","Ağustos","Eylül","Ekim","Kasım","Aralık"},0),'Ocak'!$BN$18,'Şubat'!$BH$18,'Mart'!$BN$18,'Nisan'!$BL$18,'Mayıs'!$BN$18,'Haziran'!$BL$18,'Temmuz'!$BN$18,'Ağustos'!$BN$18,'Eylül'!$BL$18,'Ekim'!$BN$18,'Kasım'!$BL$18,'Aralık'!$BN$18))</f>
        <v/>
      </c>
      <c r="E18" s="14">
        <f>IF($A18="","",CHOOSE(MATCH($C$3,{"Ocak","Şubat","Mart","Nisan","Mayıs","Haziran","Temmuz","Ağustos","Eylül","Ekim","Kasım","Aralık"},0),'Ocak'!$BO$18,'Şubat'!$BI$18,'Mart'!$BO$18,'Nisan'!$BM$18,'Mayıs'!$BO$18,'Haziran'!$BM$18,'Temmuz'!$BO$18,'Ağustos'!$BO$18,'Eylül'!$BM$18,'Ekim'!$BO$18,'Kasım'!$BM$18,'Aralık'!$BO$18))</f>
        <v/>
      </c>
      <c r="F18" s="14">
        <f>IF($A18="","",CHOOSE(MATCH($C$3,{"Ocak","Şubat","Mart","Nisan","Mayıs","Haziran","Temmuz","Ağustos","Eylül","Ekim","Kasım","Aralık"},0),'Ocak'!$BP$18,'Şubat'!$BJ$18,'Mart'!$BP$18,'Nisan'!$BN$18,'Mayıs'!$BP$18,'Haziran'!$BN$18,'Temmuz'!$BP$18,'Ağustos'!$BP$18,'Eylül'!$BN$18,'Ekim'!$BP$18,'Kasım'!$BN$18,'Aralık'!$BP$18))</f>
        <v/>
      </c>
      <c r="G18" s="13">
        <f>IF($A18="","",CHOOSE(MATCH($C$3,{"Ocak","Şubat","Mart","Nisan","Mayıs","Haziran","Temmuz","Ağustos","Eylül","Ekim","Kasım","Aralık"},0),'Ocak'!$BQ$18,'Şubat'!$BK$18,'Mart'!$BQ$18,'Nisan'!$BO$18,'Mayıs'!$BQ$18,'Haziran'!$BO$18,'Temmuz'!$BQ$18,'Ağustos'!$BQ$18,'Eylül'!$BO$18,'Ekim'!$BQ$18,'Kasım'!$BO$18,'Aralık'!$BQ$18))</f>
        <v/>
      </c>
      <c r="H18" s="13">
        <f>IF($A18="","",CHOOSE(MATCH($C$3,{"Ocak","Şubat","Mart","Nisan","Mayıs","Haziran","Temmuz","Ağustos","Eylül","Ekim","Kasım","Aralık"},0),'Ocak'!$BR$18,'Şubat'!$BL$18,'Mart'!$BR$18,'Nisan'!$BP$18,'Mayıs'!$BR$18,'Haziran'!$BP$18,'Temmuz'!$BR$18,'Ağustos'!$BR$18,'Eylül'!$BP$18,'Ekim'!$BR$18,'Kasım'!$BP$18,'Aralık'!$BR$18))</f>
        <v/>
      </c>
      <c r="I18" s="28">
        <f>IF($A18="","",IF(D18+E18+F18=0,"",G18/(D18+E18+F18)))</f>
        <v/>
      </c>
    </row>
    <row r="19">
      <c r="A19" s="29">
        <f>IF(Personel_Listesi!A18="","",Personel_Listesi!A18)</f>
        <v/>
      </c>
      <c r="B19" s="30">
        <f>IF($A19="","",UPPER(Personel_Listesi!B18))</f>
        <v/>
      </c>
      <c r="C19" s="15">
        <f>IF($A19="","",Personel_Listesi!C18)</f>
        <v/>
      </c>
      <c r="D19" s="18">
        <f>IF($A19="","",CHOOSE(MATCH($C$3,{"Ocak","Şubat","Mart","Nisan","Mayıs","Haziran","Temmuz","Ağustos","Eylül","Ekim","Kasım","Aralık"},0),'Ocak'!$BN$19,'Şubat'!$BH$19,'Mart'!$BN$19,'Nisan'!$BL$19,'Mayıs'!$BN$19,'Haziran'!$BL$19,'Temmuz'!$BN$19,'Ağustos'!$BN$19,'Eylül'!$BL$19,'Ekim'!$BN$19,'Kasım'!$BL$19,'Aralık'!$BN$19))</f>
        <v/>
      </c>
      <c r="E19" s="18">
        <f>IF($A19="","",CHOOSE(MATCH($C$3,{"Ocak","Şubat","Mart","Nisan","Mayıs","Haziran","Temmuz","Ağustos","Eylül","Ekim","Kasım","Aralık"},0),'Ocak'!$BO$19,'Şubat'!$BI$19,'Mart'!$BO$19,'Nisan'!$BM$19,'Mayıs'!$BO$19,'Haziran'!$BM$19,'Temmuz'!$BO$19,'Ağustos'!$BO$19,'Eylül'!$BM$19,'Ekim'!$BO$19,'Kasım'!$BM$19,'Aralık'!$BO$19))</f>
        <v/>
      </c>
      <c r="F19" s="18">
        <f>IF($A19="","",CHOOSE(MATCH($C$3,{"Ocak","Şubat","Mart","Nisan","Mayıs","Haziran","Temmuz","Ağustos","Eylül","Ekim","Kasım","Aralık"},0),'Ocak'!$BP$19,'Şubat'!$BJ$19,'Mart'!$BP$19,'Nisan'!$BN$19,'Mayıs'!$BP$19,'Haziran'!$BN$19,'Temmuz'!$BP$19,'Ağustos'!$BP$19,'Eylül'!$BN$19,'Ekim'!$BP$19,'Kasım'!$BN$19,'Aralık'!$BP$19))</f>
        <v/>
      </c>
      <c r="G19" s="17">
        <f>IF($A19="","",CHOOSE(MATCH($C$3,{"Ocak","Şubat","Mart","Nisan","Mayıs","Haziran","Temmuz","Ağustos","Eylül","Ekim","Kasım","Aralık"},0),'Ocak'!$BQ$19,'Şubat'!$BK$19,'Mart'!$BQ$19,'Nisan'!$BO$19,'Mayıs'!$BQ$19,'Haziran'!$BO$19,'Temmuz'!$BQ$19,'Ağustos'!$BQ$19,'Eylül'!$BO$19,'Ekim'!$BQ$19,'Kasım'!$BO$19,'Aralık'!$BQ$19))</f>
        <v/>
      </c>
      <c r="H19" s="17">
        <f>IF($A19="","",CHOOSE(MATCH($C$3,{"Ocak","Şubat","Mart","Nisan","Mayıs","Haziran","Temmuz","Ağustos","Eylül","Ekim","Kasım","Aralık"},0),'Ocak'!$BR$19,'Şubat'!$BL$19,'Mart'!$BR$19,'Nisan'!$BP$19,'Mayıs'!$BR$19,'Haziran'!$BP$19,'Temmuz'!$BR$19,'Ağustos'!$BR$19,'Eylül'!$BP$19,'Ekim'!$BR$19,'Kasım'!$BP$19,'Aralık'!$BR$19))</f>
        <v/>
      </c>
      <c r="I19" s="31">
        <f>IF($A19="","",IF(D19+E19+F19=0,"",G19/(D19+E19+F19)))</f>
        <v/>
      </c>
    </row>
    <row r="20">
      <c r="A20" s="26">
        <f>IF(Personel_Listesi!A19="","",Personel_Listesi!A19)</f>
        <v/>
      </c>
      <c r="B20" s="27">
        <f>IF($A20="","",UPPER(Personel_Listesi!B19))</f>
        <v/>
      </c>
      <c r="C20" s="11">
        <f>IF($A20="","",Personel_Listesi!C19)</f>
        <v/>
      </c>
      <c r="D20" s="14">
        <f>IF($A20="","",CHOOSE(MATCH($C$3,{"Ocak","Şubat","Mart","Nisan","Mayıs","Haziran","Temmuz","Ağustos","Eylül","Ekim","Kasım","Aralık"},0),'Ocak'!$BN$20,'Şubat'!$BH$20,'Mart'!$BN$20,'Nisan'!$BL$20,'Mayıs'!$BN$20,'Haziran'!$BL$20,'Temmuz'!$BN$20,'Ağustos'!$BN$20,'Eylül'!$BL$20,'Ekim'!$BN$20,'Kasım'!$BL$20,'Aralık'!$BN$20))</f>
        <v/>
      </c>
      <c r="E20" s="14">
        <f>IF($A20="","",CHOOSE(MATCH($C$3,{"Ocak","Şubat","Mart","Nisan","Mayıs","Haziran","Temmuz","Ağustos","Eylül","Ekim","Kasım","Aralık"},0),'Ocak'!$BO$20,'Şubat'!$BI$20,'Mart'!$BO$20,'Nisan'!$BM$20,'Mayıs'!$BO$20,'Haziran'!$BM$20,'Temmuz'!$BO$20,'Ağustos'!$BO$20,'Eylül'!$BM$20,'Ekim'!$BO$20,'Kasım'!$BM$20,'Aralık'!$BO$20))</f>
        <v/>
      </c>
      <c r="F20" s="14">
        <f>IF($A20="","",CHOOSE(MATCH($C$3,{"Ocak","Şubat","Mart","Nisan","Mayıs","Haziran","Temmuz","Ağustos","Eylül","Ekim","Kasım","Aralık"},0),'Ocak'!$BP$20,'Şubat'!$BJ$20,'Mart'!$BP$20,'Nisan'!$BN$20,'Mayıs'!$BP$20,'Haziran'!$BN$20,'Temmuz'!$BP$20,'Ağustos'!$BP$20,'Eylül'!$BN$20,'Ekim'!$BP$20,'Kasım'!$BN$20,'Aralık'!$BP$20))</f>
        <v/>
      </c>
      <c r="G20" s="13">
        <f>IF($A20="","",CHOOSE(MATCH($C$3,{"Ocak","Şubat","Mart","Nisan","Mayıs","Haziran","Temmuz","Ağustos","Eylül","Ekim","Kasım","Aralık"},0),'Ocak'!$BQ$20,'Şubat'!$BK$20,'Mart'!$BQ$20,'Nisan'!$BO$20,'Mayıs'!$BQ$20,'Haziran'!$BO$20,'Temmuz'!$BQ$20,'Ağustos'!$BQ$20,'Eylül'!$BO$20,'Ekim'!$BQ$20,'Kasım'!$BO$20,'Aralık'!$BQ$20))</f>
        <v/>
      </c>
      <c r="H20" s="13">
        <f>IF($A20="","",CHOOSE(MATCH($C$3,{"Ocak","Şubat","Mart","Nisan","Mayıs","Haziran","Temmuz","Ağustos","Eylül","Ekim","Kasım","Aralık"},0),'Ocak'!$BR$20,'Şubat'!$BL$20,'Mart'!$BR$20,'Nisan'!$BP$20,'Mayıs'!$BR$20,'Haziran'!$BP$20,'Temmuz'!$BR$20,'Ağustos'!$BR$20,'Eylül'!$BP$20,'Ekim'!$BR$20,'Kasım'!$BP$20,'Aralık'!$BR$20))</f>
        <v/>
      </c>
      <c r="I20" s="28">
        <f>IF($A20="","",IF(D20+E20+F20=0,"",G20/(D20+E20+F20)))</f>
        <v/>
      </c>
    </row>
    <row r="21" ht="22" customHeight="1">
      <c r="A21" s="23" t="inlineStr">
        <is>
          <t>AY TOPLAMI</t>
        </is>
      </c>
      <c r="B21" s="23" t="n"/>
      <c r="C21" s="23" t="n"/>
      <c r="D21" s="32">
        <f>SUM(D6:D20)</f>
        <v/>
      </c>
      <c r="E21" s="32">
        <f>SUM(E6:E20)</f>
        <v/>
      </c>
      <c r="F21" s="32">
        <f>SUM(F6:F20)</f>
        <v/>
      </c>
      <c r="G21" s="33">
        <f>SUM(G6:G20)</f>
        <v/>
      </c>
      <c r="H21" s="33">
        <f>SUM(H6:H20)</f>
        <v/>
      </c>
      <c r="I21" s="34">
        <f>IF(D21+E21+F21=0,"",G21/(D21+E21+F21))</f>
        <v/>
      </c>
    </row>
    <row r="24" ht="24" customHeight="1">
      <c r="A24" s="35" t="inlineStr">
        <is>
          <t>AYLARA GÖRE KARŞILAŞTIRMA (TÜM PERSONEL)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28" customHeight="1">
      <c r="A25" s="23" t="inlineStr">
        <is>
          <t>Ay</t>
        </is>
      </c>
      <c r="B25" s="36" t="n"/>
      <c r="C25" s="23" t="inlineStr">
        <is>
          <t>Takvim Günü</t>
        </is>
      </c>
      <c r="D25" s="23" t="inlineStr">
        <is>
          <t>Tam Gün</t>
        </is>
      </c>
      <c r="E25" s="23" t="inlineStr">
        <is>
          <t>Yarım Gün</t>
        </is>
      </c>
      <c r="F25" s="23" t="inlineStr">
        <is>
          <t>Gelmediği Gün</t>
        </is>
      </c>
      <c r="G25" s="23" t="inlineStr">
        <is>
          <t>Fiili Çalışılan Gün</t>
        </is>
      </c>
      <c r="H25" s="23" t="inlineStr">
        <is>
          <t>Toplam Mesai (Saat)</t>
        </is>
      </c>
      <c r="I25" s="23" t="inlineStr">
        <is>
          <t>Devam Oranı</t>
        </is>
      </c>
    </row>
    <row r="26">
      <c r="A26" s="37" t="inlineStr">
        <is>
          <t>Ocak</t>
        </is>
      </c>
      <c r="B26" s="11" t="n"/>
      <c r="C26" s="11" t="n">
        <v>31</v>
      </c>
      <c r="D26" s="14">
        <f>SUM('Ocak'!BN6:BN20)</f>
        <v/>
      </c>
      <c r="E26" s="14">
        <f>SUM('Ocak'!BO6:BO20)</f>
        <v/>
      </c>
      <c r="F26" s="14">
        <f>SUM('Ocak'!BP6:BP20)</f>
        <v/>
      </c>
      <c r="G26" s="13">
        <f>SUM('Ocak'!BQ6:BQ20)</f>
        <v/>
      </c>
      <c r="H26" s="13">
        <f>SUM('Ocak'!BR6:BR20)</f>
        <v/>
      </c>
      <c r="I26" s="28">
        <f>IF(D26+E26+F26=0,"",G26/(D26+E26+F26))</f>
        <v/>
      </c>
    </row>
    <row r="27">
      <c r="A27" s="38" t="inlineStr">
        <is>
          <t>Şubat</t>
        </is>
      </c>
      <c r="B27" s="15" t="n"/>
      <c r="C27" s="15" t="n">
        <v>28</v>
      </c>
      <c r="D27" s="18">
        <f>SUM('Şubat'!BH6:BH20)</f>
        <v/>
      </c>
      <c r="E27" s="18">
        <f>SUM('Şubat'!BI6:BI20)</f>
        <v/>
      </c>
      <c r="F27" s="18">
        <f>SUM('Şubat'!BJ6:BJ20)</f>
        <v/>
      </c>
      <c r="G27" s="17">
        <f>SUM('Şubat'!BK6:BK20)</f>
        <v/>
      </c>
      <c r="H27" s="17">
        <f>SUM('Şubat'!BL6:BL20)</f>
        <v/>
      </c>
      <c r="I27" s="31">
        <f>IF(D27+E27+F27=0,"",G27/(D27+E27+F27))</f>
        <v/>
      </c>
    </row>
    <row r="28">
      <c r="A28" s="37" t="inlineStr">
        <is>
          <t>Mart</t>
        </is>
      </c>
      <c r="B28" s="11" t="n"/>
      <c r="C28" s="11" t="n">
        <v>31</v>
      </c>
      <c r="D28" s="14">
        <f>SUM('Mart'!BN6:BN20)</f>
        <v/>
      </c>
      <c r="E28" s="14">
        <f>SUM('Mart'!BO6:BO20)</f>
        <v/>
      </c>
      <c r="F28" s="14">
        <f>SUM('Mart'!BP6:BP20)</f>
        <v/>
      </c>
      <c r="G28" s="13">
        <f>SUM('Mart'!BQ6:BQ20)</f>
        <v/>
      </c>
      <c r="H28" s="13">
        <f>SUM('Mart'!BR6:BR20)</f>
        <v/>
      </c>
      <c r="I28" s="28">
        <f>IF(D28+E28+F28=0,"",G28/(D28+E28+F28))</f>
        <v/>
      </c>
    </row>
    <row r="29">
      <c r="A29" s="38" t="inlineStr">
        <is>
          <t>Nisan</t>
        </is>
      </c>
      <c r="B29" s="15" t="n"/>
      <c r="C29" s="15" t="n">
        <v>30</v>
      </c>
      <c r="D29" s="18">
        <f>SUM('Nisan'!BL6:BL20)</f>
        <v/>
      </c>
      <c r="E29" s="18">
        <f>SUM('Nisan'!BM6:BM20)</f>
        <v/>
      </c>
      <c r="F29" s="18">
        <f>SUM('Nisan'!BN6:BN20)</f>
        <v/>
      </c>
      <c r="G29" s="17">
        <f>SUM('Nisan'!BO6:BO20)</f>
        <v/>
      </c>
      <c r="H29" s="17">
        <f>SUM('Nisan'!BP6:BP20)</f>
        <v/>
      </c>
      <c r="I29" s="31">
        <f>IF(D29+E29+F29=0,"",G29/(D29+E29+F29))</f>
        <v/>
      </c>
    </row>
    <row r="30">
      <c r="A30" s="37" t="inlineStr">
        <is>
          <t>Mayıs</t>
        </is>
      </c>
      <c r="B30" s="11" t="n"/>
      <c r="C30" s="11" t="n">
        <v>31</v>
      </c>
      <c r="D30" s="14">
        <f>SUM('Mayıs'!BN6:BN20)</f>
        <v/>
      </c>
      <c r="E30" s="14">
        <f>SUM('Mayıs'!BO6:BO20)</f>
        <v/>
      </c>
      <c r="F30" s="14">
        <f>SUM('Mayıs'!BP6:BP20)</f>
        <v/>
      </c>
      <c r="G30" s="13">
        <f>SUM('Mayıs'!BQ6:BQ20)</f>
        <v/>
      </c>
      <c r="H30" s="13">
        <f>SUM('Mayıs'!BR6:BR20)</f>
        <v/>
      </c>
      <c r="I30" s="28">
        <f>IF(D30+E30+F30=0,"",G30/(D30+E30+F30))</f>
        <v/>
      </c>
    </row>
    <row r="31">
      <c r="A31" s="38" t="inlineStr">
        <is>
          <t>Haziran</t>
        </is>
      </c>
      <c r="B31" s="15" t="n"/>
      <c r="C31" s="15" t="n">
        <v>30</v>
      </c>
      <c r="D31" s="18">
        <f>SUM('Haziran'!BL6:BL20)</f>
        <v/>
      </c>
      <c r="E31" s="18">
        <f>SUM('Haziran'!BM6:BM20)</f>
        <v/>
      </c>
      <c r="F31" s="18">
        <f>SUM('Haziran'!BN6:BN20)</f>
        <v/>
      </c>
      <c r="G31" s="17">
        <f>SUM('Haziran'!BO6:BO20)</f>
        <v/>
      </c>
      <c r="H31" s="17">
        <f>SUM('Haziran'!BP6:BP20)</f>
        <v/>
      </c>
      <c r="I31" s="31">
        <f>IF(D31+E31+F31=0,"",G31/(D31+E31+F31))</f>
        <v/>
      </c>
    </row>
    <row r="32">
      <c r="A32" s="37" t="inlineStr">
        <is>
          <t>Temmuz</t>
        </is>
      </c>
      <c r="B32" s="11" t="n"/>
      <c r="C32" s="11" t="n">
        <v>31</v>
      </c>
      <c r="D32" s="14">
        <f>SUM('Temmuz'!BN6:BN20)</f>
        <v/>
      </c>
      <c r="E32" s="14">
        <f>SUM('Temmuz'!BO6:BO20)</f>
        <v/>
      </c>
      <c r="F32" s="14">
        <f>SUM('Temmuz'!BP6:BP20)</f>
        <v/>
      </c>
      <c r="G32" s="13">
        <f>SUM('Temmuz'!BQ6:BQ20)</f>
        <v/>
      </c>
      <c r="H32" s="13">
        <f>SUM('Temmuz'!BR6:BR20)</f>
        <v/>
      </c>
      <c r="I32" s="28">
        <f>IF(D32+E32+F32=0,"",G32/(D32+E32+F32))</f>
        <v/>
      </c>
    </row>
    <row r="33">
      <c r="A33" s="38" t="inlineStr">
        <is>
          <t>Ağustos</t>
        </is>
      </c>
      <c r="B33" s="15" t="n"/>
      <c r="C33" s="15" t="n">
        <v>31</v>
      </c>
      <c r="D33" s="18">
        <f>SUM('Ağustos'!BN6:BN20)</f>
        <v/>
      </c>
      <c r="E33" s="18">
        <f>SUM('Ağustos'!BO6:BO20)</f>
        <v/>
      </c>
      <c r="F33" s="18">
        <f>SUM('Ağustos'!BP6:BP20)</f>
        <v/>
      </c>
      <c r="G33" s="17">
        <f>SUM('Ağustos'!BQ6:BQ20)</f>
        <v/>
      </c>
      <c r="H33" s="17">
        <f>SUM('Ağustos'!BR6:BR20)</f>
        <v/>
      </c>
      <c r="I33" s="31">
        <f>IF(D33+E33+F33=0,"",G33/(D33+E33+F33))</f>
        <v/>
      </c>
    </row>
    <row r="34">
      <c r="A34" s="37" t="inlineStr">
        <is>
          <t>Eylül</t>
        </is>
      </c>
      <c r="B34" s="11" t="n"/>
      <c r="C34" s="11" t="n">
        <v>30</v>
      </c>
      <c r="D34" s="14">
        <f>SUM('Eylül'!BL6:BL20)</f>
        <v/>
      </c>
      <c r="E34" s="14">
        <f>SUM('Eylül'!BM6:BM20)</f>
        <v/>
      </c>
      <c r="F34" s="14">
        <f>SUM('Eylül'!BN6:BN20)</f>
        <v/>
      </c>
      <c r="G34" s="13">
        <f>SUM('Eylül'!BO6:BO20)</f>
        <v/>
      </c>
      <c r="H34" s="13">
        <f>SUM('Eylül'!BP6:BP20)</f>
        <v/>
      </c>
      <c r="I34" s="28">
        <f>IF(D34+E34+F34=0,"",G34/(D34+E34+F34))</f>
        <v/>
      </c>
    </row>
    <row r="35">
      <c r="A35" s="38" t="inlineStr">
        <is>
          <t>Ekim</t>
        </is>
      </c>
      <c r="B35" s="15" t="n"/>
      <c r="C35" s="15" t="n">
        <v>31</v>
      </c>
      <c r="D35" s="18">
        <f>SUM('Ekim'!BN6:BN20)</f>
        <v/>
      </c>
      <c r="E35" s="18">
        <f>SUM('Ekim'!BO6:BO20)</f>
        <v/>
      </c>
      <c r="F35" s="18">
        <f>SUM('Ekim'!BP6:BP20)</f>
        <v/>
      </c>
      <c r="G35" s="17">
        <f>SUM('Ekim'!BQ6:BQ20)</f>
        <v/>
      </c>
      <c r="H35" s="17">
        <f>SUM('Ekim'!BR6:BR20)</f>
        <v/>
      </c>
      <c r="I35" s="31">
        <f>IF(D35+E35+F35=0,"",G35/(D35+E35+F35))</f>
        <v/>
      </c>
    </row>
    <row r="36">
      <c r="A36" s="37" t="inlineStr">
        <is>
          <t>Kasım</t>
        </is>
      </c>
      <c r="B36" s="11" t="n"/>
      <c r="C36" s="11" t="n">
        <v>30</v>
      </c>
      <c r="D36" s="14">
        <f>SUM('Kasım'!BL6:BL20)</f>
        <v/>
      </c>
      <c r="E36" s="14">
        <f>SUM('Kasım'!BM6:BM20)</f>
        <v/>
      </c>
      <c r="F36" s="14">
        <f>SUM('Kasım'!BN6:BN20)</f>
        <v/>
      </c>
      <c r="G36" s="13">
        <f>SUM('Kasım'!BO6:BO20)</f>
        <v/>
      </c>
      <c r="H36" s="13">
        <f>SUM('Kasım'!BP6:BP20)</f>
        <v/>
      </c>
      <c r="I36" s="28">
        <f>IF(D36+E36+F36=0,"",G36/(D36+E36+F36))</f>
        <v/>
      </c>
    </row>
    <row r="37">
      <c r="A37" s="38" t="inlineStr">
        <is>
          <t>Aralık</t>
        </is>
      </c>
      <c r="B37" s="15" t="n"/>
      <c r="C37" s="15" t="n">
        <v>31</v>
      </c>
      <c r="D37" s="18">
        <f>SUM('Aralık'!BN6:BN20)</f>
        <v/>
      </c>
      <c r="E37" s="18">
        <f>SUM('Aralık'!BO6:BO20)</f>
        <v/>
      </c>
      <c r="F37" s="18">
        <f>SUM('Aralık'!BP6:BP20)</f>
        <v/>
      </c>
      <c r="G37" s="17">
        <f>SUM('Aralık'!BQ6:BQ20)</f>
        <v/>
      </c>
      <c r="H37" s="17">
        <f>SUM('Aralık'!BR6:BR20)</f>
        <v/>
      </c>
      <c r="I37" s="31">
        <f>IF(D37+E37+F37=0,"",G37/(D37+E37+F37))</f>
        <v/>
      </c>
    </row>
    <row r="38">
      <c r="A38" s="10" t="inlineStr">
        <is>
          <t>YIL TOPLAMI</t>
        </is>
      </c>
      <c r="B38" s="10" t="n"/>
      <c r="C38" s="39">
        <f>SUM(C26:C37)</f>
        <v/>
      </c>
      <c r="D38" s="39">
        <f>SUM(D26:D37)</f>
        <v/>
      </c>
      <c r="E38" s="39">
        <f>SUM(E26:E37)</f>
        <v/>
      </c>
      <c r="F38" s="39">
        <f>SUM(F26:F37)</f>
        <v/>
      </c>
      <c r="G38" s="40">
        <f>SUM(G26:G37)</f>
        <v/>
      </c>
      <c r="H38" s="40">
        <f>SUM(H26:H37)</f>
        <v/>
      </c>
      <c r="I38" s="41">
        <f>IF(D38+E38+F38=0,"",G38/(D38+E38+F38))</f>
        <v/>
      </c>
    </row>
  </sheetData>
  <mergeCells count="19">
    <mergeCell ref="A30:B30"/>
    <mergeCell ref="A36:B36"/>
    <mergeCell ref="A21:C21"/>
    <mergeCell ref="A25:B25"/>
    <mergeCell ref="A37:B37"/>
    <mergeCell ref="D3:I3"/>
    <mergeCell ref="A27:B27"/>
    <mergeCell ref="A3:B3"/>
    <mergeCell ref="A26:B26"/>
    <mergeCell ref="A33:B33"/>
    <mergeCell ref="A32:B32"/>
    <mergeCell ref="A24:I24"/>
    <mergeCell ref="A35:B35"/>
    <mergeCell ref="A38:B38"/>
    <mergeCell ref="A29:B29"/>
    <mergeCell ref="A28:B28"/>
    <mergeCell ref="A1:I1"/>
    <mergeCell ref="A31:B31"/>
    <mergeCell ref="A34:B34"/>
  </mergeCells>
  <conditionalFormatting sqref="A26:I37">
    <cfRule type="expression" priority="1" dxfId="0">
      <formula>$A26=$C$3</formula>
    </cfRule>
  </conditionalFormatting>
  <dataValidations count="1">
    <dataValidation sqref="C3" showDropDown="0" showInputMessage="1" showErrorMessage="1" allowBlank="0" errorTitle="Geçersiz Ay" error="Listeden bir ay seçiniz." promptTitle="Rapor Ayı" prompt="Raporlanacak ayı listeden seçin." type="list">
      <formula1>"Ocak,Şubat,Mart,Nisan,Mayıs,Haziran,Temmuz,Ağustos,Eylül,Ekim,Kasım,Aralık"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</cols>
  <sheetData>
    <row r="1" ht="32" customHeight="1">
      <c r="A1" s="1" t="inlineStr">
        <is>
          <t>2026 PERSONEL LİSTESİ</t>
        </is>
      </c>
      <c r="B1" s="2" t="n"/>
      <c r="C1" s="2" t="n"/>
    </row>
    <row r="2" ht="30" customHeight="1">
      <c r="A2" s="42" t="inlineStr">
        <is>
          <t>Personel bilgilerini yalnızca bu sayfaya girin; tüm ay sayfaları ve yıllık rapor otomatik güncellenir. Ad Soyad BÜYÜK HARF yazılmalıdır.</t>
        </is>
      </c>
    </row>
    <row r="4" ht="24" customHeight="1">
      <c r="A4" s="23" t="inlineStr">
        <is>
          <t>Sicil No</t>
        </is>
      </c>
      <c r="B4" s="23" t="inlineStr">
        <is>
          <t>Ad Soyad</t>
        </is>
      </c>
      <c r="C4" s="23" t="inlineStr">
        <is>
          <t>Departman</t>
        </is>
      </c>
    </row>
    <row r="5">
      <c r="A5" s="26" t="inlineStr">
        <is>
          <t>1001</t>
        </is>
      </c>
      <c r="B5" s="12" t="inlineStr">
        <is>
          <t>AHMET YILMAZ</t>
        </is>
      </c>
      <c r="C5" s="11" t="inlineStr">
        <is>
          <t>Üretim</t>
        </is>
      </c>
    </row>
    <row r="6">
      <c r="A6" s="29" t="inlineStr">
        <is>
          <t>1002</t>
        </is>
      </c>
      <c r="B6" s="16" t="inlineStr">
        <is>
          <t>AYŞE DEMIR</t>
        </is>
      </c>
      <c r="C6" s="15" t="inlineStr">
        <is>
          <t>Muhasebe</t>
        </is>
      </c>
    </row>
    <row r="7">
      <c r="A7" s="26" t="inlineStr">
        <is>
          <t>1003</t>
        </is>
      </c>
      <c r="B7" s="12" t="inlineStr">
        <is>
          <t>MEHMET KAYA</t>
        </is>
      </c>
      <c r="C7" s="11" t="inlineStr">
        <is>
          <t>Lojistik</t>
        </is>
      </c>
    </row>
    <row r="8">
      <c r="A8" s="29" t="inlineStr">
        <is>
          <t>1004</t>
        </is>
      </c>
      <c r="B8" s="16" t="inlineStr">
        <is>
          <t>FATMA ŞAHIN</t>
        </is>
      </c>
      <c r="C8" s="15" t="inlineStr">
        <is>
          <t>İnsan Kaynakları</t>
        </is>
      </c>
    </row>
    <row r="9">
      <c r="A9" s="26" t="inlineStr">
        <is>
          <t>1005</t>
        </is>
      </c>
      <c r="B9" s="12" t="inlineStr">
        <is>
          <t>MUSTAFA ÇELIK</t>
        </is>
      </c>
      <c r="C9" s="11" t="inlineStr">
        <is>
          <t>Üretim</t>
        </is>
      </c>
    </row>
    <row r="10">
      <c r="A10" s="29" t="inlineStr">
        <is>
          <t>1006</t>
        </is>
      </c>
      <c r="B10" s="16" t="inlineStr">
        <is>
          <t>ZEYNEP ARSLAN</t>
        </is>
      </c>
      <c r="C10" s="15" t="inlineStr">
        <is>
          <t>Satış</t>
        </is>
      </c>
    </row>
    <row r="11">
      <c r="A11" s="26" t="inlineStr">
        <is>
          <t>1007</t>
        </is>
      </c>
      <c r="B11" s="12" t="inlineStr">
        <is>
          <t>EMRE ÖZTÜRK</t>
        </is>
      </c>
      <c r="C11" s="11" t="inlineStr">
        <is>
          <t>Bakım-Onarım</t>
        </is>
      </c>
    </row>
    <row r="12">
      <c r="A12" s="29" t="n"/>
      <c r="B12" s="16" t="n"/>
      <c r="C12" s="15" t="n"/>
    </row>
    <row r="13">
      <c r="A13" s="26" t="n"/>
      <c r="B13" s="12" t="n"/>
      <c r="C13" s="11" t="n"/>
    </row>
    <row r="14">
      <c r="A14" s="29" t="n"/>
      <c r="B14" s="16" t="n"/>
      <c r="C14" s="15" t="n"/>
    </row>
    <row r="15">
      <c r="A15" s="26" t="n"/>
      <c r="B15" s="12" t="n"/>
      <c r="C15" s="11" t="n"/>
    </row>
    <row r="16">
      <c r="A16" s="29" t="n"/>
      <c r="B16" s="16" t="n"/>
      <c r="C16" s="15" t="n"/>
    </row>
    <row r="17">
      <c r="A17" s="26" t="n"/>
      <c r="B17" s="12" t="n"/>
      <c r="C17" s="11" t="n"/>
    </row>
    <row r="18">
      <c r="A18" s="29" t="n"/>
      <c r="B18" s="16" t="n"/>
      <c r="C18" s="15" t="n"/>
    </row>
    <row r="19">
      <c r="A19" s="26" t="n"/>
      <c r="B19" s="12" t="n"/>
      <c r="C19" s="11" t="n"/>
    </row>
  </sheetData>
  <mergeCells count="2">
    <mergeCell ref="A1:C1"/>
    <mergeCell ref="A2:C2"/>
  </mergeCells>
  <dataValidations count="1">
    <dataValidation sqref="B5:B19" showDropDown="0" showInputMessage="0" showErrorMessage="1" allowBlank="1" errorTitle="Büyük Harf Gerekli" error="Ad Soyad BÜYÜK HARF ile yazılmalıdır." type="custom">
      <formula1>EXACT(B5,UPPER(B5))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R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4.6" customWidth="1" min="64" max="64"/>
    <col width="5.8" customWidth="1" min="65" max="65"/>
    <col width="9" customWidth="1" min="66" max="66"/>
    <col width="9" customWidth="1" min="67" max="67"/>
    <col width="9" customWidth="1" min="68" max="68"/>
    <col width="11" customWidth="1" min="69" max="69"/>
    <col width="11" customWidth="1" min="70" max="70"/>
  </cols>
  <sheetData>
    <row r="1" ht="32" customHeight="1">
      <c r="A1" s="1" t="inlineStr">
        <is>
          <t>OCAK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 ht="20" customHeight="1">
      <c r="A2" s="25" t="inlineStr">
        <is>
          <t>Takvim gün sayısı: 31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Per</t>
        </is>
      </c>
      <c r="E4" s="23" t="n"/>
      <c r="F4" s="23" t="inlineStr">
        <is>
          <t>2
Cum</t>
        </is>
      </c>
      <c r="G4" s="23" t="n"/>
      <c r="H4" s="49" t="inlineStr">
        <is>
          <t>3
Cmt</t>
        </is>
      </c>
      <c r="I4" s="49" t="n"/>
      <c r="J4" s="49" t="inlineStr">
        <is>
          <t>4
Paz</t>
        </is>
      </c>
      <c r="K4" s="49" t="n"/>
      <c r="L4" s="23" t="inlineStr">
        <is>
          <t>5
Pzt</t>
        </is>
      </c>
      <c r="M4" s="23" t="n"/>
      <c r="N4" s="23" t="inlineStr">
        <is>
          <t>6
Sal</t>
        </is>
      </c>
      <c r="O4" s="23" t="n"/>
      <c r="P4" s="23" t="inlineStr">
        <is>
          <t>7
Çar</t>
        </is>
      </c>
      <c r="Q4" s="23" t="n"/>
      <c r="R4" s="23" t="inlineStr">
        <is>
          <t>8
Per</t>
        </is>
      </c>
      <c r="S4" s="23" t="n"/>
      <c r="T4" s="23" t="inlineStr">
        <is>
          <t>9
Cum</t>
        </is>
      </c>
      <c r="U4" s="23" t="n"/>
      <c r="V4" s="49" t="inlineStr">
        <is>
          <t>10
Cmt</t>
        </is>
      </c>
      <c r="W4" s="49" t="n"/>
      <c r="X4" s="49" t="inlineStr">
        <is>
          <t>11
Paz</t>
        </is>
      </c>
      <c r="Y4" s="49" t="n"/>
      <c r="Z4" s="23" t="inlineStr">
        <is>
          <t>12
Pzt</t>
        </is>
      </c>
      <c r="AA4" s="23" t="n"/>
      <c r="AB4" s="23" t="inlineStr">
        <is>
          <t>13
Sal</t>
        </is>
      </c>
      <c r="AC4" s="23" t="n"/>
      <c r="AD4" s="23" t="inlineStr">
        <is>
          <t>14
Çar</t>
        </is>
      </c>
      <c r="AE4" s="23" t="n"/>
      <c r="AF4" s="23" t="inlineStr">
        <is>
          <t>15
Per</t>
        </is>
      </c>
      <c r="AG4" s="23" t="n"/>
      <c r="AH4" s="23" t="inlineStr">
        <is>
          <t>16
Cum</t>
        </is>
      </c>
      <c r="AI4" s="23" t="n"/>
      <c r="AJ4" s="49" t="inlineStr">
        <is>
          <t>17
Cmt</t>
        </is>
      </c>
      <c r="AK4" s="49" t="n"/>
      <c r="AL4" s="49" t="inlineStr">
        <is>
          <t>18
Paz</t>
        </is>
      </c>
      <c r="AM4" s="49" t="n"/>
      <c r="AN4" s="23" t="inlineStr">
        <is>
          <t>19
Pzt</t>
        </is>
      </c>
      <c r="AO4" s="23" t="n"/>
      <c r="AP4" s="23" t="inlineStr">
        <is>
          <t>20
Sal</t>
        </is>
      </c>
      <c r="AQ4" s="23" t="n"/>
      <c r="AR4" s="23" t="inlineStr">
        <is>
          <t>21
Çar</t>
        </is>
      </c>
      <c r="AS4" s="23" t="n"/>
      <c r="AT4" s="23" t="inlineStr">
        <is>
          <t>22
Per</t>
        </is>
      </c>
      <c r="AU4" s="23" t="n"/>
      <c r="AV4" s="23" t="inlineStr">
        <is>
          <t>23
Cum</t>
        </is>
      </c>
      <c r="AW4" s="23" t="n"/>
      <c r="AX4" s="49" t="inlineStr">
        <is>
          <t>24
Cmt</t>
        </is>
      </c>
      <c r="AY4" s="49" t="n"/>
      <c r="AZ4" s="49" t="inlineStr">
        <is>
          <t>25
Paz</t>
        </is>
      </c>
      <c r="BA4" s="49" t="n"/>
      <c r="BB4" s="23" t="inlineStr">
        <is>
          <t>26
Pzt</t>
        </is>
      </c>
      <c r="BC4" s="23" t="n"/>
      <c r="BD4" s="23" t="inlineStr">
        <is>
          <t>27
Sal</t>
        </is>
      </c>
      <c r="BE4" s="23" t="n"/>
      <c r="BF4" s="23" t="inlineStr">
        <is>
          <t>28
Çar</t>
        </is>
      </c>
      <c r="BG4" s="23" t="n"/>
      <c r="BH4" s="23" t="inlineStr">
        <is>
          <t>29
Per</t>
        </is>
      </c>
      <c r="BI4" s="23" t="n"/>
      <c r="BJ4" s="23" t="inlineStr">
        <is>
          <t>30
Cum</t>
        </is>
      </c>
      <c r="BK4" s="23" t="n"/>
      <c r="BL4" s="49" t="inlineStr">
        <is>
          <t>31
Cmt</t>
        </is>
      </c>
      <c r="BM4" s="49" t="n"/>
      <c r="BN4" s="50" t="inlineStr">
        <is>
          <t>Tam Gün
(+)</t>
        </is>
      </c>
      <c r="BO4" s="10" t="inlineStr">
        <is>
          <t>Yarım Gün
(x)</t>
        </is>
      </c>
      <c r="BP4" s="10" t="inlineStr">
        <is>
          <t>Gelmediği
Gün (-)</t>
        </is>
      </c>
      <c r="BQ4" s="10" t="inlineStr">
        <is>
          <t>Fiili
Çalışılan Gün</t>
        </is>
      </c>
      <c r="BR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1" t="inlineStr">
        <is>
          <t>Drm</t>
        </is>
      </c>
      <c r="BM5" s="51" t="inlineStr">
        <is>
          <t>Mesai</t>
        </is>
      </c>
      <c r="BN5" s="50" t="n"/>
      <c r="BO5" s="10" t="n"/>
      <c r="BP5" s="10" t="n"/>
      <c r="BQ5" s="10" t="n"/>
      <c r="BR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inlineStr">
        <is>
          <t>x</t>
        </is>
      </c>
      <c r="E6" s="53" t="n"/>
      <c r="F6" s="52" t="inlineStr">
        <is>
          <t>+</t>
        </is>
      </c>
      <c r="G6" s="53" t="n"/>
      <c r="H6" s="54" t="n"/>
      <c r="I6" s="55" t="n"/>
      <c r="J6" s="54" t="n"/>
      <c r="K6" s="55" t="n"/>
      <c r="L6" s="52" t="inlineStr">
        <is>
          <t>+</t>
        </is>
      </c>
      <c r="M6" s="53" t="n"/>
      <c r="N6" s="52" t="inlineStr">
        <is>
          <t>+</t>
        </is>
      </c>
      <c r="O6" s="53" t="n">
        <v>1</v>
      </c>
      <c r="P6" s="52" t="inlineStr">
        <is>
          <t>+</t>
        </is>
      </c>
      <c r="Q6" s="53" t="n"/>
      <c r="R6" s="52" t="inlineStr">
        <is>
          <t>+</t>
        </is>
      </c>
      <c r="S6" s="53" t="n"/>
      <c r="T6" s="52" t="inlineStr">
        <is>
          <t>-</t>
        </is>
      </c>
      <c r="U6" s="53" t="n"/>
      <c r="V6" s="54" t="n"/>
      <c r="W6" s="55" t="n"/>
      <c r="X6" s="54" t="n"/>
      <c r="Y6" s="55" t="n"/>
      <c r="Z6" s="52" t="inlineStr">
        <is>
          <t>x</t>
        </is>
      </c>
      <c r="AA6" s="53" t="n"/>
      <c r="AB6" s="52" t="inlineStr">
        <is>
          <t>+</t>
        </is>
      </c>
      <c r="AC6" s="53" t="n">
        <v>1</v>
      </c>
      <c r="AD6" s="52" t="inlineStr">
        <is>
          <t>-</t>
        </is>
      </c>
      <c r="AE6" s="53" t="n"/>
      <c r="AF6" s="52" t="inlineStr">
        <is>
          <t>x</t>
        </is>
      </c>
      <c r="AG6" s="53" t="n"/>
      <c r="AH6" s="52" t="inlineStr">
        <is>
          <t>-</t>
        </is>
      </c>
      <c r="AI6" s="53" t="n"/>
      <c r="AJ6" s="54" t="n"/>
      <c r="AK6" s="55" t="n"/>
      <c r="AL6" s="54" t="n"/>
      <c r="AM6" s="55" t="n"/>
      <c r="AN6" s="52" t="inlineStr">
        <is>
          <t>+</t>
        </is>
      </c>
      <c r="AO6" s="53" t="n"/>
      <c r="AP6" s="52" t="inlineStr">
        <is>
          <t>+</t>
        </is>
      </c>
      <c r="AQ6" s="53" t="n"/>
      <c r="AR6" s="52" t="inlineStr">
        <is>
          <t>+</t>
        </is>
      </c>
      <c r="AS6" s="53" t="n"/>
      <c r="AT6" s="52" t="inlineStr">
        <is>
          <t>x</t>
        </is>
      </c>
      <c r="AU6" s="53" t="n"/>
      <c r="AV6" s="52" t="inlineStr">
        <is>
          <t>+</t>
        </is>
      </c>
      <c r="AW6" s="53" t="n"/>
      <c r="AX6" s="54" t="n"/>
      <c r="AY6" s="55" t="n"/>
      <c r="AZ6" s="54" t="n"/>
      <c r="BA6" s="55" t="n"/>
      <c r="BB6" s="52" t="inlineStr">
        <is>
          <t>+</t>
        </is>
      </c>
      <c r="BC6" s="53" t="n"/>
      <c r="BD6" s="52" t="inlineStr">
        <is>
          <t>+</t>
        </is>
      </c>
      <c r="BE6" s="53" t="n"/>
      <c r="BF6" s="52" t="inlineStr">
        <is>
          <t>+</t>
        </is>
      </c>
      <c r="BG6" s="53" t="n"/>
      <c r="BH6" s="52" t="inlineStr">
        <is>
          <t>+</t>
        </is>
      </c>
      <c r="BI6" s="53" t="n"/>
      <c r="BJ6" s="52" t="inlineStr">
        <is>
          <t>+</t>
        </is>
      </c>
      <c r="BK6" s="53" t="n"/>
      <c r="BL6" s="54" t="n"/>
      <c r="BM6" s="55" t="n"/>
      <c r="BN6" s="56">
        <f>IF($A6="","",COUNTIF(D6:BM6,"+"))</f>
        <v/>
      </c>
      <c r="BO6" s="57">
        <f>IF($A6="","",COUNTIF(D6:BM6,"x"))</f>
        <v/>
      </c>
      <c r="BP6" s="57">
        <f>IF($A6="","",COUNTIF(D6:BM6,"-"))</f>
        <v/>
      </c>
      <c r="BQ6" s="58">
        <f>IF($A6="","",BN6+BO6*0.5)</f>
        <v/>
      </c>
      <c r="BR6" s="58">
        <f>IF($A6="","",SUM(E6,G6,I6,K6,M6,O6,Q6,S6,U6,W6,Y6,AA6,AC6,AE6,AG6,AI6,AK6,AM6,AO6,AQ6,AS6,AU6,AW6,AY6,BA6,BC6,BE6,BG6,BI6,BK6,BM6))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inlineStr">
        <is>
          <t>+</t>
        </is>
      </c>
      <c r="E7" s="60" t="n"/>
      <c r="F7" s="59" t="inlineStr">
        <is>
          <t>-</t>
        </is>
      </c>
      <c r="G7" s="60" t="n"/>
      <c r="H7" s="54" t="n"/>
      <c r="I7" s="55" t="n"/>
      <c r="J7" s="54" t="n"/>
      <c r="K7" s="55" t="n"/>
      <c r="L7" s="59" t="inlineStr">
        <is>
          <t>+</t>
        </is>
      </c>
      <c r="M7" s="60" t="n">
        <v>1.5</v>
      </c>
      <c r="N7" s="59" t="inlineStr">
        <is>
          <t>+</t>
        </is>
      </c>
      <c r="O7" s="60" t="n">
        <v>2.5</v>
      </c>
      <c r="P7" s="59" t="inlineStr">
        <is>
          <t>+</t>
        </is>
      </c>
      <c r="Q7" s="60" t="n">
        <v>1.5</v>
      </c>
      <c r="R7" s="59" t="inlineStr">
        <is>
          <t>+</t>
        </is>
      </c>
      <c r="S7" s="60" t="n"/>
      <c r="T7" s="59" t="inlineStr">
        <is>
          <t>+</t>
        </is>
      </c>
      <c r="U7" s="60" t="n"/>
      <c r="V7" s="54" t="n"/>
      <c r="W7" s="55" t="n"/>
      <c r="X7" s="54" t="n"/>
      <c r="Y7" s="55" t="n"/>
      <c r="Z7" s="59" t="inlineStr">
        <is>
          <t>+</t>
        </is>
      </c>
      <c r="AA7" s="60" t="n">
        <v>2</v>
      </c>
      <c r="AB7" s="59" t="inlineStr">
        <is>
          <t>+</t>
        </is>
      </c>
      <c r="AC7" s="60" t="n"/>
      <c r="AD7" s="59" t="inlineStr">
        <is>
          <t>+</t>
        </is>
      </c>
      <c r="AE7" s="60" t="n">
        <v>2.5</v>
      </c>
      <c r="AF7" s="59" t="inlineStr">
        <is>
          <t>+</t>
        </is>
      </c>
      <c r="AG7" s="60" t="n"/>
      <c r="AH7" s="59" t="inlineStr">
        <is>
          <t>+</t>
        </is>
      </c>
      <c r="AI7" s="60" t="n"/>
      <c r="AJ7" s="54" t="n"/>
      <c r="AK7" s="55" t="n"/>
      <c r="AL7" s="54" t="n"/>
      <c r="AM7" s="55" t="n"/>
      <c r="AN7" s="59" t="inlineStr">
        <is>
          <t>+</t>
        </is>
      </c>
      <c r="AO7" s="60" t="n"/>
      <c r="AP7" s="59" t="inlineStr">
        <is>
          <t>+</t>
        </is>
      </c>
      <c r="AQ7" s="60" t="n"/>
      <c r="AR7" s="59" t="inlineStr">
        <is>
          <t>+</t>
        </is>
      </c>
      <c r="AS7" s="60" t="n">
        <v>1.5</v>
      </c>
      <c r="AT7" s="59" t="inlineStr">
        <is>
          <t>+</t>
        </is>
      </c>
      <c r="AU7" s="60" t="n">
        <v>2</v>
      </c>
      <c r="AV7" s="59" t="inlineStr">
        <is>
          <t>-</t>
        </is>
      </c>
      <c r="AW7" s="60" t="n"/>
      <c r="AX7" s="54" t="n"/>
      <c r="AY7" s="55" t="n"/>
      <c r="AZ7" s="54" t="n"/>
      <c r="BA7" s="55" t="n"/>
      <c r="BB7" s="59" t="inlineStr">
        <is>
          <t>+</t>
        </is>
      </c>
      <c r="BC7" s="60" t="n"/>
      <c r="BD7" s="59" t="inlineStr">
        <is>
          <t>+</t>
        </is>
      </c>
      <c r="BE7" s="60" t="n"/>
      <c r="BF7" s="59" t="inlineStr">
        <is>
          <t>+</t>
        </is>
      </c>
      <c r="BG7" s="60" t="n">
        <v>3</v>
      </c>
      <c r="BH7" s="59" t="inlineStr">
        <is>
          <t>+</t>
        </is>
      </c>
      <c r="BI7" s="60" t="n"/>
      <c r="BJ7" s="59" t="inlineStr">
        <is>
          <t>+</t>
        </is>
      </c>
      <c r="BK7" s="60" t="n">
        <v>1.5</v>
      </c>
      <c r="BL7" s="54" t="n"/>
      <c r="BM7" s="55" t="n"/>
      <c r="BN7" s="56">
        <f>IF($A7="","",COUNTIF(D7:BM7,"+"))</f>
        <v/>
      </c>
      <c r="BO7" s="57">
        <f>IF($A7="","",COUNTIF(D7:BM7,"x"))</f>
        <v/>
      </c>
      <c r="BP7" s="57">
        <f>IF($A7="","",COUNTIF(D7:BM7,"-"))</f>
        <v/>
      </c>
      <c r="BQ7" s="58">
        <f>IF($A7="","",BN7+BO7*0.5)</f>
        <v/>
      </c>
      <c r="BR7" s="58">
        <f>IF($A7="","",SUM(E7,G7,I7,K7,M7,O7,Q7,S7,U7,W7,Y7,AA7,AC7,AE7,AG7,AI7,AK7,AM7,AO7,AQ7,AS7,AU7,AW7,AY7,BA7,BC7,BE7,BG7,BI7,BK7,BM7))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inlineStr">
        <is>
          <t>+</t>
        </is>
      </c>
      <c r="E8" s="53" t="n"/>
      <c r="F8" s="52" t="inlineStr">
        <is>
          <t>+</t>
        </is>
      </c>
      <c r="G8" s="53" t="n"/>
      <c r="H8" s="54" t="n"/>
      <c r="I8" s="55" t="n"/>
      <c r="J8" s="54" t="n"/>
      <c r="K8" s="55" t="n"/>
      <c r="L8" s="52" t="inlineStr">
        <is>
          <t>+</t>
        </is>
      </c>
      <c r="M8" s="53" t="n"/>
      <c r="N8" s="52" t="inlineStr">
        <is>
          <t>+</t>
        </is>
      </c>
      <c r="O8" s="53" t="n">
        <v>2</v>
      </c>
      <c r="P8" s="52" t="inlineStr">
        <is>
          <t>-</t>
        </is>
      </c>
      <c r="Q8" s="53" t="n"/>
      <c r="R8" s="52" t="inlineStr">
        <is>
          <t>+</t>
        </is>
      </c>
      <c r="S8" s="53" t="n"/>
      <c r="T8" s="52" t="inlineStr">
        <is>
          <t>+</t>
        </is>
      </c>
      <c r="U8" s="53" t="n">
        <v>2.5</v>
      </c>
      <c r="V8" s="54" t="n"/>
      <c r="W8" s="55" t="n"/>
      <c r="X8" s="54" t="n"/>
      <c r="Y8" s="55" t="n"/>
      <c r="Z8" s="52" t="inlineStr">
        <is>
          <t>+</t>
        </is>
      </c>
      <c r="AA8" s="53" t="n"/>
      <c r="AB8" s="52" t="inlineStr">
        <is>
          <t>+</t>
        </is>
      </c>
      <c r="AC8" s="53" t="n"/>
      <c r="AD8" s="52" t="inlineStr">
        <is>
          <t>+</t>
        </is>
      </c>
      <c r="AE8" s="53" t="n"/>
      <c r="AF8" s="52" t="inlineStr">
        <is>
          <t>-</t>
        </is>
      </c>
      <c r="AG8" s="53" t="n"/>
      <c r="AH8" s="52" t="inlineStr">
        <is>
          <t>-</t>
        </is>
      </c>
      <c r="AI8" s="53" t="n"/>
      <c r="AJ8" s="54" t="n"/>
      <c r="AK8" s="55" t="n"/>
      <c r="AL8" s="54" t="n"/>
      <c r="AM8" s="55" t="n"/>
      <c r="AN8" s="52" t="inlineStr">
        <is>
          <t>+</t>
        </is>
      </c>
      <c r="AO8" s="53" t="n"/>
      <c r="AP8" s="52" t="inlineStr">
        <is>
          <t>+</t>
        </is>
      </c>
      <c r="AQ8" s="53" t="n"/>
      <c r="AR8" s="52" t="inlineStr">
        <is>
          <t>+</t>
        </is>
      </c>
      <c r="AS8" s="53" t="n"/>
      <c r="AT8" s="52" t="inlineStr">
        <is>
          <t>+</t>
        </is>
      </c>
      <c r="AU8" s="53" t="n"/>
      <c r="AV8" s="52" t="inlineStr">
        <is>
          <t>+</t>
        </is>
      </c>
      <c r="AW8" s="53" t="n">
        <v>1</v>
      </c>
      <c r="AX8" s="54" t="n"/>
      <c r="AY8" s="55" t="n"/>
      <c r="AZ8" s="54" t="n"/>
      <c r="BA8" s="55" t="n"/>
      <c r="BB8" s="52" t="inlineStr">
        <is>
          <t>+</t>
        </is>
      </c>
      <c r="BC8" s="53" t="n"/>
      <c r="BD8" s="52" t="inlineStr">
        <is>
          <t>+</t>
        </is>
      </c>
      <c r="BE8" s="53" t="n"/>
      <c r="BF8" s="52" t="inlineStr">
        <is>
          <t>+</t>
        </is>
      </c>
      <c r="BG8" s="53" t="n"/>
      <c r="BH8" s="52" t="inlineStr">
        <is>
          <t>+</t>
        </is>
      </c>
      <c r="BI8" s="53" t="n">
        <v>2</v>
      </c>
      <c r="BJ8" s="52" t="inlineStr">
        <is>
          <t>+</t>
        </is>
      </c>
      <c r="BK8" s="53" t="n">
        <v>3</v>
      </c>
      <c r="BL8" s="54" t="n"/>
      <c r="BM8" s="55" t="n"/>
      <c r="BN8" s="56">
        <f>IF($A8="","",COUNTIF(D8:BM8,"+"))</f>
        <v/>
      </c>
      <c r="BO8" s="57">
        <f>IF($A8="","",COUNTIF(D8:BM8,"x"))</f>
        <v/>
      </c>
      <c r="BP8" s="57">
        <f>IF($A8="","",COUNTIF(D8:BM8,"-"))</f>
        <v/>
      </c>
      <c r="BQ8" s="58">
        <f>IF($A8="","",BN8+BO8*0.5)</f>
        <v/>
      </c>
      <c r="BR8" s="58">
        <f>IF($A8="","",SUM(E8,G8,I8,K8,M8,O8,Q8,S8,U8,W8,Y8,AA8,AC8,AE8,AG8,AI8,AK8,AM8,AO8,AQ8,AS8,AU8,AW8,AY8,BA8,BC8,BE8,BG8,BI8,BK8,BM8))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inlineStr">
        <is>
          <t>+</t>
        </is>
      </c>
      <c r="E9" s="60" t="n"/>
      <c r="F9" s="59" t="inlineStr">
        <is>
          <t>+</t>
        </is>
      </c>
      <c r="G9" s="60" t="n"/>
      <c r="H9" s="54" t="n"/>
      <c r="I9" s="55" t="n"/>
      <c r="J9" s="54" t="n"/>
      <c r="K9" s="55" t="n"/>
      <c r="L9" s="59" t="inlineStr">
        <is>
          <t>+</t>
        </is>
      </c>
      <c r="M9" s="60" t="n">
        <v>2</v>
      </c>
      <c r="N9" s="59" t="inlineStr">
        <is>
          <t>x</t>
        </is>
      </c>
      <c r="O9" s="60" t="n"/>
      <c r="P9" s="59" t="inlineStr">
        <is>
          <t>+</t>
        </is>
      </c>
      <c r="Q9" s="60" t="n">
        <v>2.5</v>
      </c>
      <c r="R9" s="59" t="inlineStr">
        <is>
          <t>+</t>
        </is>
      </c>
      <c r="S9" s="60" t="n"/>
      <c r="T9" s="59" t="inlineStr">
        <is>
          <t>+</t>
        </is>
      </c>
      <c r="U9" s="60" t="n"/>
      <c r="V9" s="54" t="n"/>
      <c r="W9" s="55" t="n"/>
      <c r="X9" s="54" t="n"/>
      <c r="Y9" s="55" t="n"/>
      <c r="Z9" s="59" t="inlineStr">
        <is>
          <t>+</t>
        </is>
      </c>
      <c r="AA9" s="60" t="n"/>
      <c r="AB9" s="59" t="inlineStr">
        <is>
          <t>+</t>
        </is>
      </c>
      <c r="AC9" s="60" t="n">
        <v>3</v>
      </c>
      <c r="AD9" s="59" t="inlineStr">
        <is>
          <t>+</t>
        </is>
      </c>
      <c r="AE9" s="60" t="n"/>
      <c r="AF9" s="59" t="inlineStr">
        <is>
          <t>+</t>
        </is>
      </c>
      <c r="AG9" s="60" t="n"/>
      <c r="AH9" s="59" t="inlineStr">
        <is>
          <t>x</t>
        </is>
      </c>
      <c r="AI9" s="60" t="n"/>
      <c r="AJ9" s="54" t="n"/>
      <c r="AK9" s="55" t="n"/>
      <c r="AL9" s="54" t="n"/>
      <c r="AM9" s="55" t="n"/>
      <c r="AN9" s="59" t="inlineStr">
        <is>
          <t>+</t>
        </is>
      </c>
      <c r="AO9" s="60" t="n">
        <v>3</v>
      </c>
      <c r="AP9" s="59" t="inlineStr">
        <is>
          <t>+</t>
        </is>
      </c>
      <c r="AQ9" s="60" t="n">
        <v>2</v>
      </c>
      <c r="AR9" s="59" t="inlineStr">
        <is>
          <t>+</t>
        </is>
      </c>
      <c r="AS9" s="60" t="n"/>
      <c r="AT9" s="59" t="inlineStr">
        <is>
          <t>+</t>
        </is>
      </c>
      <c r="AU9" s="60" t="n"/>
      <c r="AV9" s="59" t="inlineStr">
        <is>
          <t>+</t>
        </is>
      </c>
      <c r="AW9" s="60" t="n"/>
      <c r="AX9" s="54" t="n"/>
      <c r="AY9" s="55" t="n"/>
      <c r="AZ9" s="54" t="n"/>
      <c r="BA9" s="55" t="n"/>
      <c r="BB9" s="59" t="inlineStr">
        <is>
          <t>+</t>
        </is>
      </c>
      <c r="BC9" s="60" t="n"/>
      <c r="BD9" s="59" t="inlineStr">
        <is>
          <t>+</t>
        </is>
      </c>
      <c r="BE9" s="60" t="n">
        <v>1</v>
      </c>
      <c r="BF9" s="59" t="inlineStr">
        <is>
          <t>+</t>
        </is>
      </c>
      <c r="BG9" s="60" t="n"/>
      <c r="BH9" s="59" t="inlineStr">
        <is>
          <t>+</t>
        </is>
      </c>
      <c r="BI9" s="60" t="n"/>
      <c r="BJ9" s="59" t="inlineStr">
        <is>
          <t>+</t>
        </is>
      </c>
      <c r="BK9" s="60" t="n"/>
      <c r="BL9" s="54" t="n"/>
      <c r="BM9" s="55" t="n"/>
      <c r="BN9" s="56">
        <f>IF($A9="","",COUNTIF(D9:BM9,"+"))</f>
        <v/>
      </c>
      <c r="BO9" s="57">
        <f>IF($A9="","",COUNTIF(D9:BM9,"x"))</f>
        <v/>
      </c>
      <c r="BP9" s="57">
        <f>IF($A9="","",COUNTIF(D9:BM9,"-"))</f>
        <v/>
      </c>
      <c r="BQ9" s="58">
        <f>IF($A9="","",BN9+BO9*0.5)</f>
        <v/>
      </c>
      <c r="BR9" s="58">
        <f>IF($A9="","",SUM(E9,G9,I9,K9,M9,O9,Q9,S9,U9,W9,Y9,AA9,AC9,AE9,AG9,AI9,AK9,AM9,AO9,AQ9,AS9,AU9,AW9,AY9,BA9,BC9,BE9,BG9,BI9,BK9,BM9))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inlineStr">
        <is>
          <t>+</t>
        </is>
      </c>
      <c r="E10" s="53" t="n"/>
      <c r="F10" s="52" t="inlineStr">
        <is>
          <t>+</t>
        </is>
      </c>
      <c r="G10" s="53" t="n">
        <v>1.5</v>
      </c>
      <c r="H10" s="54" t="n"/>
      <c r="I10" s="55" t="n"/>
      <c r="J10" s="54" t="n"/>
      <c r="K10" s="55" t="n"/>
      <c r="L10" s="52" t="inlineStr">
        <is>
          <t>-</t>
        </is>
      </c>
      <c r="M10" s="53" t="n"/>
      <c r="N10" s="52" t="inlineStr">
        <is>
          <t>+</t>
        </is>
      </c>
      <c r="O10" s="53" t="n"/>
      <c r="P10" s="52" t="inlineStr">
        <is>
          <t>+</t>
        </is>
      </c>
      <c r="Q10" s="53" t="n"/>
      <c r="R10" s="52" t="inlineStr">
        <is>
          <t>x</t>
        </is>
      </c>
      <c r="S10" s="53" t="n"/>
      <c r="T10" s="52" t="inlineStr">
        <is>
          <t>+</t>
        </is>
      </c>
      <c r="U10" s="53" t="n"/>
      <c r="V10" s="54" t="n"/>
      <c r="W10" s="55" t="n"/>
      <c r="X10" s="54" t="n"/>
      <c r="Y10" s="55" t="n"/>
      <c r="Z10" s="52" t="inlineStr">
        <is>
          <t>+</t>
        </is>
      </c>
      <c r="AA10" s="53" t="n"/>
      <c r="AB10" s="52" t="inlineStr">
        <is>
          <t>+</t>
        </is>
      </c>
      <c r="AC10" s="53" t="n"/>
      <c r="AD10" s="52" t="inlineStr">
        <is>
          <t>x</t>
        </is>
      </c>
      <c r="AE10" s="53" t="n"/>
      <c r="AF10" s="52" t="inlineStr">
        <is>
          <t>+</t>
        </is>
      </c>
      <c r="AG10" s="53" t="n"/>
      <c r="AH10" s="52" t="inlineStr">
        <is>
          <t>+</t>
        </is>
      </c>
      <c r="AI10" s="53" t="n"/>
      <c r="AJ10" s="54" t="n"/>
      <c r="AK10" s="55" t="n"/>
      <c r="AL10" s="54" t="n"/>
      <c r="AM10" s="55" t="n"/>
      <c r="AN10" s="52" t="inlineStr">
        <is>
          <t>+</t>
        </is>
      </c>
      <c r="AO10" s="53" t="n">
        <v>2</v>
      </c>
      <c r="AP10" s="52" t="inlineStr">
        <is>
          <t>+</t>
        </is>
      </c>
      <c r="AQ10" s="53" t="n"/>
      <c r="AR10" s="52" t="inlineStr">
        <is>
          <t>+</t>
        </is>
      </c>
      <c r="AS10" s="53" t="n"/>
      <c r="AT10" s="52" t="inlineStr">
        <is>
          <t>+</t>
        </is>
      </c>
      <c r="AU10" s="53" t="n"/>
      <c r="AV10" s="52" t="inlineStr">
        <is>
          <t>+</t>
        </is>
      </c>
      <c r="AW10" s="53" t="n"/>
      <c r="AX10" s="54" t="n"/>
      <c r="AY10" s="55" t="n"/>
      <c r="AZ10" s="54" t="n"/>
      <c r="BA10" s="55" t="n"/>
      <c r="BB10" s="52" t="inlineStr">
        <is>
          <t>+</t>
        </is>
      </c>
      <c r="BC10" s="53" t="n">
        <v>2</v>
      </c>
      <c r="BD10" s="52" t="inlineStr">
        <is>
          <t>+</t>
        </is>
      </c>
      <c r="BE10" s="53" t="n"/>
      <c r="BF10" s="52" t="inlineStr">
        <is>
          <t>+</t>
        </is>
      </c>
      <c r="BG10" s="53" t="n"/>
      <c r="BH10" s="52" t="inlineStr">
        <is>
          <t>+</t>
        </is>
      </c>
      <c r="BI10" s="53" t="n"/>
      <c r="BJ10" s="52" t="inlineStr">
        <is>
          <t>+</t>
        </is>
      </c>
      <c r="BK10" s="53" t="n"/>
      <c r="BL10" s="54" t="n"/>
      <c r="BM10" s="55" t="n"/>
      <c r="BN10" s="56">
        <f>IF($A10="","",COUNTIF(D10:BM10,"+"))</f>
        <v/>
      </c>
      <c r="BO10" s="57">
        <f>IF($A10="","",COUNTIF(D10:BM10,"x"))</f>
        <v/>
      </c>
      <c r="BP10" s="57">
        <f>IF($A10="","",COUNTIF(D10:BM10,"-"))</f>
        <v/>
      </c>
      <c r="BQ10" s="58">
        <f>IF($A10="","",BN10+BO10*0.5)</f>
        <v/>
      </c>
      <c r="BR10" s="58">
        <f>IF($A10="","",SUM(E10,G10,I10,K10,M10,O10,Q10,S10,U10,W10,Y10,AA10,AC10,AE10,AG10,AI10,AK10,AM10,AO10,AQ10,AS10,AU10,AW10,AY10,BA10,BC10,BE10,BG10,BI10,BK10,BM10))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inlineStr">
        <is>
          <t>+</t>
        </is>
      </c>
      <c r="E11" s="60" t="n">
        <v>2.5</v>
      </c>
      <c r="F11" s="59" t="inlineStr">
        <is>
          <t>+</t>
        </is>
      </c>
      <c r="G11" s="60" t="n"/>
      <c r="H11" s="54" t="n"/>
      <c r="I11" s="55" t="n"/>
      <c r="J11" s="54" t="n"/>
      <c r="K11" s="55" t="n"/>
      <c r="L11" s="59" t="inlineStr">
        <is>
          <t>+</t>
        </is>
      </c>
      <c r="M11" s="60" t="n"/>
      <c r="N11" s="59" t="inlineStr">
        <is>
          <t>+</t>
        </is>
      </c>
      <c r="O11" s="60" t="n">
        <v>2</v>
      </c>
      <c r="P11" s="59" t="inlineStr">
        <is>
          <t>+</t>
        </is>
      </c>
      <c r="Q11" s="60" t="n"/>
      <c r="R11" s="59" t="inlineStr">
        <is>
          <t>-</t>
        </is>
      </c>
      <c r="S11" s="60" t="n"/>
      <c r="T11" s="59" t="inlineStr">
        <is>
          <t>+</t>
        </is>
      </c>
      <c r="U11" s="60" t="n"/>
      <c r="V11" s="54" t="n"/>
      <c r="W11" s="55" t="n"/>
      <c r="X11" s="54" t="n"/>
      <c r="Y11" s="55" t="n"/>
      <c r="Z11" s="59" t="inlineStr">
        <is>
          <t>+</t>
        </is>
      </c>
      <c r="AA11" s="60" t="n"/>
      <c r="AB11" s="59" t="inlineStr">
        <is>
          <t>+</t>
        </is>
      </c>
      <c r="AC11" s="60" t="n">
        <v>2</v>
      </c>
      <c r="AD11" s="59" t="inlineStr">
        <is>
          <t>+</t>
        </is>
      </c>
      <c r="AE11" s="60" t="n"/>
      <c r="AF11" s="59" t="inlineStr">
        <is>
          <t>+</t>
        </is>
      </c>
      <c r="AG11" s="60" t="n"/>
      <c r="AH11" s="59" t="inlineStr">
        <is>
          <t>+</t>
        </is>
      </c>
      <c r="AI11" s="60" t="n"/>
      <c r="AJ11" s="54" t="n"/>
      <c r="AK11" s="55" t="n"/>
      <c r="AL11" s="54" t="n"/>
      <c r="AM11" s="55" t="n"/>
      <c r="AN11" s="59" t="inlineStr">
        <is>
          <t>+</t>
        </is>
      </c>
      <c r="AO11" s="60" t="n"/>
      <c r="AP11" s="59" t="inlineStr">
        <is>
          <t>x</t>
        </is>
      </c>
      <c r="AQ11" s="60" t="n"/>
      <c r="AR11" s="59" t="inlineStr">
        <is>
          <t>+</t>
        </is>
      </c>
      <c r="AS11" s="60" t="n"/>
      <c r="AT11" s="59" t="inlineStr">
        <is>
          <t>+</t>
        </is>
      </c>
      <c r="AU11" s="60" t="n"/>
      <c r="AV11" s="59" t="inlineStr">
        <is>
          <t>+</t>
        </is>
      </c>
      <c r="AW11" s="60" t="n">
        <v>1.5</v>
      </c>
      <c r="AX11" s="54" t="n"/>
      <c r="AY11" s="55" t="n"/>
      <c r="AZ11" s="54" t="n"/>
      <c r="BA11" s="55" t="n"/>
      <c r="BB11" s="59" t="inlineStr">
        <is>
          <t>+</t>
        </is>
      </c>
      <c r="BC11" s="60" t="n">
        <v>1.5</v>
      </c>
      <c r="BD11" s="59" t="inlineStr">
        <is>
          <t>+</t>
        </is>
      </c>
      <c r="BE11" s="60" t="n">
        <v>1.5</v>
      </c>
      <c r="BF11" s="59" t="inlineStr">
        <is>
          <t>+</t>
        </is>
      </c>
      <c r="BG11" s="60" t="n"/>
      <c r="BH11" s="59" t="inlineStr">
        <is>
          <t>+</t>
        </is>
      </c>
      <c r="BI11" s="60" t="n"/>
      <c r="BJ11" s="59" t="inlineStr">
        <is>
          <t>+</t>
        </is>
      </c>
      <c r="BK11" s="60" t="n"/>
      <c r="BL11" s="54" t="n"/>
      <c r="BM11" s="55" t="n"/>
      <c r="BN11" s="56">
        <f>IF($A11="","",COUNTIF(D11:BM11,"+"))</f>
        <v/>
      </c>
      <c r="BO11" s="57">
        <f>IF($A11="","",COUNTIF(D11:BM11,"x"))</f>
        <v/>
      </c>
      <c r="BP11" s="57">
        <f>IF($A11="","",COUNTIF(D11:BM11,"-"))</f>
        <v/>
      </c>
      <c r="BQ11" s="58">
        <f>IF($A11="","",BN11+BO11*0.5)</f>
        <v/>
      </c>
      <c r="BR11" s="58">
        <f>IF($A11="","",SUM(E11,G11,I11,K11,M11,O11,Q11,S11,U11,W11,Y11,AA11,AC11,AE11,AG11,AI11,AK11,AM11,AO11,AQ11,AS11,AU11,AW11,AY11,BA11,BC11,BE11,BG11,BI11,BK11,BM11))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inlineStr">
        <is>
          <t>x</t>
        </is>
      </c>
      <c r="E12" s="53" t="n"/>
      <c r="F12" s="52" t="inlineStr">
        <is>
          <t>+</t>
        </is>
      </c>
      <c r="G12" s="53" t="n">
        <v>2</v>
      </c>
      <c r="H12" s="54" t="n"/>
      <c r="I12" s="55" t="n"/>
      <c r="J12" s="54" t="n"/>
      <c r="K12" s="55" t="n"/>
      <c r="L12" s="52" t="inlineStr">
        <is>
          <t>+</t>
        </is>
      </c>
      <c r="M12" s="53" t="n">
        <v>1.5</v>
      </c>
      <c r="N12" s="52" t="inlineStr">
        <is>
          <t>+</t>
        </is>
      </c>
      <c r="O12" s="53" t="n">
        <v>3</v>
      </c>
      <c r="P12" s="52" t="inlineStr">
        <is>
          <t>+</t>
        </is>
      </c>
      <c r="Q12" s="53" t="n"/>
      <c r="R12" s="52" t="inlineStr">
        <is>
          <t>+</t>
        </is>
      </c>
      <c r="S12" s="53" t="n">
        <v>1</v>
      </c>
      <c r="T12" s="52" t="inlineStr">
        <is>
          <t>+</t>
        </is>
      </c>
      <c r="U12" s="53" t="n"/>
      <c r="V12" s="54" t="n"/>
      <c r="W12" s="55" t="n"/>
      <c r="X12" s="54" t="n"/>
      <c r="Y12" s="55" t="n"/>
      <c r="Z12" s="52" t="inlineStr">
        <is>
          <t>-</t>
        </is>
      </c>
      <c r="AA12" s="53" t="n"/>
      <c r="AB12" s="52" t="inlineStr">
        <is>
          <t>+</t>
        </is>
      </c>
      <c r="AC12" s="53" t="n">
        <v>2</v>
      </c>
      <c r="AD12" s="52" t="inlineStr">
        <is>
          <t>+</t>
        </is>
      </c>
      <c r="AE12" s="53" t="n"/>
      <c r="AF12" s="52" t="inlineStr">
        <is>
          <t>+</t>
        </is>
      </c>
      <c r="AG12" s="53" t="n">
        <v>1.5</v>
      </c>
      <c r="AH12" s="52" t="inlineStr">
        <is>
          <t>+</t>
        </is>
      </c>
      <c r="AI12" s="53" t="n"/>
      <c r="AJ12" s="54" t="n"/>
      <c r="AK12" s="55" t="n"/>
      <c r="AL12" s="54" t="n"/>
      <c r="AM12" s="55" t="n"/>
      <c r="AN12" s="52" t="inlineStr">
        <is>
          <t>+</t>
        </is>
      </c>
      <c r="AO12" s="53" t="n">
        <v>2.5</v>
      </c>
      <c r="AP12" s="52" t="inlineStr">
        <is>
          <t>+</t>
        </is>
      </c>
      <c r="AQ12" s="53" t="n">
        <v>1</v>
      </c>
      <c r="AR12" s="52" t="inlineStr">
        <is>
          <t>+</t>
        </is>
      </c>
      <c r="AS12" s="53" t="n">
        <v>2.5</v>
      </c>
      <c r="AT12" s="52" t="inlineStr">
        <is>
          <t>+</t>
        </is>
      </c>
      <c r="AU12" s="53" t="n"/>
      <c r="AV12" s="52" t="inlineStr">
        <is>
          <t>+</t>
        </is>
      </c>
      <c r="AW12" s="53" t="n"/>
      <c r="AX12" s="54" t="n"/>
      <c r="AY12" s="55" t="n"/>
      <c r="AZ12" s="54" t="n"/>
      <c r="BA12" s="55" t="n"/>
      <c r="BB12" s="52" t="inlineStr">
        <is>
          <t>+</t>
        </is>
      </c>
      <c r="BC12" s="53" t="n">
        <v>2</v>
      </c>
      <c r="BD12" s="52" t="inlineStr">
        <is>
          <t>+</t>
        </is>
      </c>
      <c r="BE12" s="53" t="n"/>
      <c r="BF12" s="52" t="inlineStr">
        <is>
          <t>x</t>
        </is>
      </c>
      <c r="BG12" s="53" t="n"/>
      <c r="BH12" s="52" t="inlineStr">
        <is>
          <t>+</t>
        </is>
      </c>
      <c r="BI12" s="53" t="n"/>
      <c r="BJ12" s="52" t="inlineStr">
        <is>
          <t>+</t>
        </is>
      </c>
      <c r="BK12" s="53" t="n">
        <v>2</v>
      </c>
      <c r="BL12" s="54" t="n"/>
      <c r="BM12" s="55" t="n"/>
      <c r="BN12" s="56">
        <f>IF($A12="","",COUNTIF(D12:BM12,"+"))</f>
        <v/>
      </c>
      <c r="BO12" s="57">
        <f>IF($A12="","",COUNTIF(D12:BM12,"x"))</f>
        <v/>
      </c>
      <c r="BP12" s="57">
        <f>IF($A12="","",COUNTIF(D12:BM12,"-"))</f>
        <v/>
      </c>
      <c r="BQ12" s="58">
        <f>IF($A12="","",BN12+BO12*0.5)</f>
        <v/>
      </c>
      <c r="BR12" s="58">
        <f>IF($A12="","",SUM(E12,G12,I12,K12,M12,O12,Q12,S12,U12,W12,Y12,AA12,AC12,AE12,AG12,AI12,AK12,AM12,AO12,AQ12,AS12,AU12,AW12,AY12,BA12,BC12,BE12,BG12,BI12,BK12,BM12))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9" t="n"/>
      <c r="G13" s="60" t="n"/>
      <c r="H13" s="54" t="n"/>
      <c r="I13" s="55" t="n"/>
      <c r="J13" s="54" t="n"/>
      <c r="K13" s="55" t="n"/>
      <c r="L13" s="59" t="n"/>
      <c r="M13" s="60" t="n"/>
      <c r="N13" s="59" t="n"/>
      <c r="O13" s="60" t="n"/>
      <c r="P13" s="59" t="n"/>
      <c r="Q13" s="60" t="n"/>
      <c r="R13" s="59" t="n"/>
      <c r="S13" s="60" t="n"/>
      <c r="T13" s="59" t="n"/>
      <c r="U13" s="60" t="n"/>
      <c r="V13" s="54" t="n"/>
      <c r="W13" s="55" t="n"/>
      <c r="X13" s="54" t="n"/>
      <c r="Y13" s="55" t="n"/>
      <c r="Z13" s="59" t="n"/>
      <c r="AA13" s="60" t="n"/>
      <c r="AB13" s="59" t="n"/>
      <c r="AC13" s="60" t="n"/>
      <c r="AD13" s="59" t="n"/>
      <c r="AE13" s="60" t="n"/>
      <c r="AF13" s="59" t="n"/>
      <c r="AG13" s="60" t="n"/>
      <c r="AH13" s="59" t="n"/>
      <c r="AI13" s="60" t="n"/>
      <c r="AJ13" s="54" t="n"/>
      <c r="AK13" s="55" t="n"/>
      <c r="AL13" s="54" t="n"/>
      <c r="AM13" s="55" t="n"/>
      <c r="AN13" s="59" t="n"/>
      <c r="AO13" s="60" t="n"/>
      <c r="AP13" s="59" t="n"/>
      <c r="AQ13" s="60" t="n"/>
      <c r="AR13" s="59" t="n"/>
      <c r="AS13" s="60" t="n"/>
      <c r="AT13" s="59" t="n"/>
      <c r="AU13" s="60" t="n"/>
      <c r="AV13" s="59" t="n"/>
      <c r="AW13" s="60" t="n"/>
      <c r="AX13" s="54" t="n"/>
      <c r="AY13" s="55" t="n"/>
      <c r="AZ13" s="54" t="n"/>
      <c r="BA13" s="55" t="n"/>
      <c r="BB13" s="59" t="n"/>
      <c r="BC13" s="60" t="n"/>
      <c r="BD13" s="59" t="n"/>
      <c r="BE13" s="60" t="n"/>
      <c r="BF13" s="59" t="n"/>
      <c r="BG13" s="60" t="n"/>
      <c r="BH13" s="59" t="n"/>
      <c r="BI13" s="60" t="n"/>
      <c r="BJ13" s="59" t="n"/>
      <c r="BK13" s="60" t="n"/>
      <c r="BL13" s="54" t="n"/>
      <c r="BM13" s="55" t="n"/>
      <c r="BN13" s="56">
        <f>IF($A13="","",COUNTIF(D13:BM13,"+"))</f>
        <v/>
      </c>
      <c r="BO13" s="57">
        <f>IF($A13="","",COUNTIF(D13:BM13,"x"))</f>
        <v/>
      </c>
      <c r="BP13" s="57">
        <f>IF($A13="","",COUNTIF(D13:BM13,"-"))</f>
        <v/>
      </c>
      <c r="BQ13" s="58">
        <f>IF($A13="","",BN13+BO13*0.5)</f>
        <v/>
      </c>
      <c r="BR13" s="58">
        <f>IF($A13="","",SUM(E13,G13,I13,K13,M13,O13,Q13,S13,U13,W13,Y13,AA13,AC13,AE13,AG13,AI13,AK13,AM13,AO13,AQ13,AS13,AU13,AW13,AY13,BA13,BC13,BE13,BG13,BI13,BK13,BM13))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2" t="n"/>
      <c r="G14" s="53" t="n"/>
      <c r="H14" s="54" t="n"/>
      <c r="I14" s="55" t="n"/>
      <c r="J14" s="54" t="n"/>
      <c r="K14" s="55" t="n"/>
      <c r="L14" s="52" t="n"/>
      <c r="M14" s="53" t="n"/>
      <c r="N14" s="52" t="n"/>
      <c r="O14" s="53" t="n"/>
      <c r="P14" s="52" t="n"/>
      <c r="Q14" s="53" t="n"/>
      <c r="R14" s="52" t="n"/>
      <c r="S14" s="53" t="n"/>
      <c r="T14" s="52" t="n"/>
      <c r="U14" s="53" t="n"/>
      <c r="V14" s="54" t="n"/>
      <c r="W14" s="55" t="n"/>
      <c r="X14" s="54" t="n"/>
      <c r="Y14" s="55" t="n"/>
      <c r="Z14" s="52" t="n"/>
      <c r="AA14" s="53" t="n"/>
      <c r="AB14" s="52" t="n"/>
      <c r="AC14" s="53" t="n"/>
      <c r="AD14" s="52" t="n"/>
      <c r="AE14" s="53" t="n"/>
      <c r="AF14" s="52" t="n"/>
      <c r="AG14" s="53" t="n"/>
      <c r="AH14" s="52" t="n"/>
      <c r="AI14" s="53" t="n"/>
      <c r="AJ14" s="54" t="n"/>
      <c r="AK14" s="55" t="n"/>
      <c r="AL14" s="54" t="n"/>
      <c r="AM14" s="55" t="n"/>
      <c r="AN14" s="52" t="n"/>
      <c r="AO14" s="53" t="n"/>
      <c r="AP14" s="52" t="n"/>
      <c r="AQ14" s="53" t="n"/>
      <c r="AR14" s="52" t="n"/>
      <c r="AS14" s="53" t="n"/>
      <c r="AT14" s="52" t="n"/>
      <c r="AU14" s="53" t="n"/>
      <c r="AV14" s="52" t="n"/>
      <c r="AW14" s="53" t="n"/>
      <c r="AX14" s="54" t="n"/>
      <c r="AY14" s="55" t="n"/>
      <c r="AZ14" s="54" t="n"/>
      <c r="BA14" s="55" t="n"/>
      <c r="BB14" s="52" t="n"/>
      <c r="BC14" s="53" t="n"/>
      <c r="BD14" s="52" t="n"/>
      <c r="BE14" s="53" t="n"/>
      <c r="BF14" s="52" t="n"/>
      <c r="BG14" s="53" t="n"/>
      <c r="BH14" s="52" t="n"/>
      <c r="BI14" s="53" t="n"/>
      <c r="BJ14" s="52" t="n"/>
      <c r="BK14" s="53" t="n"/>
      <c r="BL14" s="54" t="n"/>
      <c r="BM14" s="55" t="n"/>
      <c r="BN14" s="56">
        <f>IF($A14="","",COUNTIF(D14:BM14,"+"))</f>
        <v/>
      </c>
      <c r="BO14" s="57">
        <f>IF($A14="","",COUNTIF(D14:BM14,"x"))</f>
        <v/>
      </c>
      <c r="BP14" s="57">
        <f>IF($A14="","",COUNTIF(D14:BM14,"-"))</f>
        <v/>
      </c>
      <c r="BQ14" s="58">
        <f>IF($A14="","",BN14+BO14*0.5)</f>
        <v/>
      </c>
      <c r="BR14" s="58">
        <f>IF($A14="","",SUM(E14,G14,I14,K14,M14,O14,Q14,S14,U14,W14,Y14,AA14,AC14,AE14,AG14,AI14,AK14,AM14,AO14,AQ14,AS14,AU14,AW14,AY14,BA14,BC14,BE14,BG14,BI14,BK14,BM14))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9" t="n"/>
      <c r="G15" s="60" t="n"/>
      <c r="H15" s="54" t="n"/>
      <c r="I15" s="55" t="n"/>
      <c r="J15" s="54" t="n"/>
      <c r="K15" s="55" t="n"/>
      <c r="L15" s="59" t="n"/>
      <c r="M15" s="60" t="n"/>
      <c r="N15" s="59" t="n"/>
      <c r="O15" s="60" t="n"/>
      <c r="P15" s="59" t="n"/>
      <c r="Q15" s="60" t="n"/>
      <c r="R15" s="59" t="n"/>
      <c r="S15" s="60" t="n"/>
      <c r="T15" s="59" t="n"/>
      <c r="U15" s="60" t="n"/>
      <c r="V15" s="54" t="n"/>
      <c r="W15" s="55" t="n"/>
      <c r="X15" s="54" t="n"/>
      <c r="Y15" s="55" t="n"/>
      <c r="Z15" s="59" t="n"/>
      <c r="AA15" s="60" t="n"/>
      <c r="AB15" s="59" t="n"/>
      <c r="AC15" s="60" t="n"/>
      <c r="AD15" s="59" t="n"/>
      <c r="AE15" s="60" t="n"/>
      <c r="AF15" s="59" t="n"/>
      <c r="AG15" s="60" t="n"/>
      <c r="AH15" s="59" t="n"/>
      <c r="AI15" s="60" t="n"/>
      <c r="AJ15" s="54" t="n"/>
      <c r="AK15" s="55" t="n"/>
      <c r="AL15" s="54" t="n"/>
      <c r="AM15" s="55" t="n"/>
      <c r="AN15" s="59" t="n"/>
      <c r="AO15" s="60" t="n"/>
      <c r="AP15" s="59" t="n"/>
      <c r="AQ15" s="60" t="n"/>
      <c r="AR15" s="59" t="n"/>
      <c r="AS15" s="60" t="n"/>
      <c r="AT15" s="59" t="n"/>
      <c r="AU15" s="60" t="n"/>
      <c r="AV15" s="59" t="n"/>
      <c r="AW15" s="60" t="n"/>
      <c r="AX15" s="54" t="n"/>
      <c r="AY15" s="55" t="n"/>
      <c r="AZ15" s="54" t="n"/>
      <c r="BA15" s="55" t="n"/>
      <c r="BB15" s="59" t="n"/>
      <c r="BC15" s="60" t="n"/>
      <c r="BD15" s="59" t="n"/>
      <c r="BE15" s="60" t="n"/>
      <c r="BF15" s="59" t="n"/>
      <c r="BG15" s="60" t="n"/>
      <c r="BH15" s="59" t="n"/>
      <c r="BI15" s="60" t="n"/>
      <c r="BJ15" s="59" t="n"/>
      <c r="BK15" s="60" t="n"/>
      <c r="BL15" s="54" t="n"/>
      <c r="BM15" s="55" t="n"/>
      <c r="BN15" s="56">
        <f>IF($A15="","",COUNTIF(D15:BM15,"+"))</f>
        <v/>
      </c>
      <c r="BO15" s="57">
        <f>IF($A15="","",COUNTIF(D15:BM15,"x"))</f>
        <v/>
      </c>
      <c r="BP15" s="57">
        <f>IF($A15="","",COUNTIF(D15:BM15,"-"))</f>
        <v/>
      </c>
      <c r="BQ15" s="58">
        <f>IF($A15="","",BN15+BO15*0.5)</f>
        <v/>
      </c>
      <c r="BR15" s="58">
        <f>IF($A15="","",SUM(E15,G15,I15,K15,M15,O15,Q15,S15,U15,W15,Y15,AA15,AC15,AE15,AG15,AI15,AK15,AM15,AO15,AQ15,AS15,AU15,AW15,AY15,BA15,BC15,BE15,BG15,BI15,BK15,BM15))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2" t="n"/>
      <c r="G16" s="53" t="n"/>
      <c r="H16" s="54" t="n"/>
      <c r="I16" s="55" t="n"/>
      <c r="J16" s="54" t="n"/>
      <c r="K16" s="55" t="n"/>
      <c r="L16" s="52" t="n"/>
      <c r="M16" s="53" t="n"/>
      <c r="N16" s="52" t="n"/>
      <c r="O16" s="53" t="n"/>
      <c r="P16" s="52" t="n"/>
      <c r="Q16" s="53" t="n"/>
      <c r="R16" s="52" t="n"/>
      <c r="S16" s="53" t="n"/>
      <c r="T16" s="52" t="n"/>
      <c r="U16" s="53" t="n"/>
      <c r="V16" s="54" t="n"/>
      <c r="W16" s="55" t="n"/>
      <c r="X16" s="54" t="n"/>
      <c r="Y16" s="55" t="n"/>
      <c r="Z16" s="52" t="n"/>
      <c r="AA16" s="53" t="n"/>
      <c r="AB16" s="52" t="n"/>
      <c r="AC16" s="53" t="n"/>
      <c r="AD16" s="52" t="n"/>
      <c r="AE16" s="53" t="n"/>
      <c r="AF16" s="52" t="n"/>
      <c r="AG16" s="53" t="n"/>
      <c r="AH16" s="52" t="n"/>
      <c r="AI16" s="53" t="n"/>
      <c r="AJ16" s="54" t="n"/>
      <c r="AK16" s="55" t="n"/>
      <c r="AL16" s="54" t="n"/>
      <c r="AM16" s="55" t="n"/>
      <c r="AN16" s="52" t="n"/>
      <c r="AO16" s="53" t="n"/>
      <c r="AP16" s="52" t="n"/>
      <c r="AQ16" s="53" t="n"/>
      <c r="AR16" s="52" t="n"/>
      <c r="AS16" s="53" t="n"/>
      <c r="AT16" s="52" t="n"/>
      <c r="AU16" s="53" t="n"/>
      <c r="AV16" s="52" t="n"/>
      <c r="AW16" s="53" t="n"/>
      <c r="AX16" s="54" t="n"/>
      <c r="AY16" s="55" t="n"/>
      <c r="AZ16" s="54" t="n"/>
      <c r="BA16" s="55" t="n"/>
      <c r="BB16" s="52" t="n"/>
      <c r="BC16" s="53" t="n"/>
      <c r="BD16" s="52" t="n"/>
      <c r="BE16" s="53" t="n"/>
      <c r="BF16" s="52" t="n"/>
      <c r="BG16" s="53" t="n"/>
      <c r="BH16" s="52" t="n"/>
      <c r="BI16" s="53" t="n"/>
      <c r="BJ16" s="52" t="n"/>
      <c r="BK16" s="53" t="n"/>
      <c r="BL16" s="54" t="n"/>
      <c r="BM16" s="55" t="n"/>
      <c r="BN16" s="56">
        <f>IF($A16="","",COUNTIF(D16:BM16,"+"))</f>
        <v/>
      </c>
      <c r="BO16" s="57">
        <f>IF($A16="","",COUNTIF(D16:BM16,"x"))</f>
        <v/>
      </c>
      <c r="BP16" s="57">
        <f>IF($A16="","",COUNTIF(D16:BM16,"-"))</f>
        <v/>
      </c>
      <c r="BQ16" s="58">
        <f>IF($A16="","",BN16+BO16*0.5)</f>
        <v/>
      </c>
      <c r="BR16" s="58">
        <f>IF($A16="","",SUM(E16,G16,I16,K16,M16,O16,Q16,S16,U16,W16,Y16,AA16,AC16,AE16,AG16,AI16,AK16,AM16,AO16,AQ16,AS16,AU16,AW16,AY16,BA16,BC16,BE16,BG16,BI16,BK16,BM16))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9" t="n"/>
      <c r="G17" s="60" t="n"/>
      <c r="H17" s="54" t="n"/>
      <c r="I17" s="55" t="n"/>
      <c r="J17" s="54" t="n"/>
      <c r="K17" s="55" t="n"/>
      <c r="L17" s="59" t="n"/>
      <c r="M17" s="60" t="n"/>
      <c r="N17" s="59" t="n"/>
      <c r="O17" s="60" t="n"/>
      <c r="P17" s="59" t="n"/>
      <c r="Q17" s="60" t="n"/>
      <c r="R17" s="59" t="n"/>
      <c r="S17" s="60" t="n"/>
      <c r="T17" s="59" t="n"/>
      <c r="U17" s="60" t="n"/>
      <c r="V17" s="54" t="n"/>
      <c r="W17" s="55" t="n"/>
      <c r="X17" s="54" t="n"/>
      <c r="Y17" s="55" t="n"/>
      <c r="Z17" s="59" t="n"/>
      <c r="AA17" s="60" t="n"/>
      <c r="AB17" s="59" t="n"/>
      <c r="AC17" s="60" t="n"/>
      <c r="AD17" s="59" t="n"/>
      <c r="AE17" s="60" t="n"/>
      <c r="AF17" s="59" t="n"/>
      <c r="AG17" s="60" t="n"/>
      <c r="AH17" s="59" t="n"/>
      <c r="AI17" s="60" t="n"/>
      <c r="AJ17" s="54" t="n"/>
      <c r="AK17" s="55" t="n"/>
      <c r="AL17" s="54" t="n"/>
      <c r="AM17" s="55" t="n"/>
      <c r="AN17" s="59" t="n"/>
      <c r="AO17" s="60" t="n"/>
      <c r="AP17" s="59" t="n"/>
      <c r="AQ17" s="60" t="n"/>
      <c r="AR17" s="59" t="n"/>
      <c r="AS17" s="60" t="n"/>
      <c r="AT17" s="59" t="n"/>
      <c r="AU17" s="60" t="n"/>
      <c r="AV17" s="59" t="n"/>
      <c r="AW17" s="60" t="n"/>
      <c r="AX17" s="54" t="n"/>
      <c r="AY17" s="55" t="n"/>
      <c r="AZ17" s="54" t="n"/>
      <c r="BA17" s="55" t="n"/>
      <c r="BB17" s="59" t="n"/>
      <c r="BC17" s="60" t="n"/>
      <c r="BD17" s="59" t="n"/>
      <c r="BE17" s="60" t="n"/>
      <c r="BF17" s="59" t="n"/>
      <c r="BG17" s="60" t="n"/>
      <c r="BH17" s="59" t="n"/>
      <c r="BI17" s="60" t="n"/>
      <c r="BJ17" s="59" t="n"/>
      <c r="BK17" s="60" t="n"/>
      <c r="BL17" s="54" t="n"/>
      <c r="BM17" s="55" t="n"/>
      <c r="BN17" s="56">
        <f>IF($A17="","",COUNTIF(D17:BM17,"+"))</f>
        <v/>
      </c>
      <c r="BO17" s="57">
        <f>IF($A17="","",COUNTIF(D17:BM17,"x"))</f>
        <v/>
      </c>
      <c r="BP17" s="57">
        <f>IF($A17="","",COUNTIF(D17:BM17,"-"))</f>
        <v/>
      </c>
      <c r="BQ17" s="58">
        <f>IF($A17="","",BN17+BO17*0.5)</f>
        <v/>
      </c>
      <c r="BR17" s="58">
        <f>IF($A17="","",SUM(E17,G17,I17,K17,M17,O17,Q17,S17,U17,W17,Y17,AA17,AC17,AE17,AG17,AI17,AK17,AM17,AO17,AQ17,AS17,AU17,AW17,AY17,BA17,BC17,BE17,BG17,BI17,BK17,BM17))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2" t="n"/>
      <c r="G18" s="53" t="n"/>
      <c r="H18" s="54" t="n"/>
      <c r="I18" s="55" t="n"/>
      <c r="J18" s="54" t="n"/>
      <c r="K18" s="55" t="n"/>
      <c r="L18" s="52" t="n"/>
      <c r="M18" s="53" t="n"/>
      <c r="N18" s="52" t="n"/>
      <c r="O18" s="53" t="n"/>
      <c r="P18" s="52" t="n"/>
      <c r="Q18" s="53" t="n"/>
      <c r="R18" s="52" t="n"/>
      <c r="S18" s="53" t="n"/>
      <c r="T18" s="52" t="n"/>
      <c r="U18" s="53" t="n"/>
      <c r="V18" s="54" t="n"/>
      <c r="W18" s="55" t="n"/>
      <c r="X18" s="54" t="n"/>
      <c r="Y18" s="55" t="n"/>
      <c r="Z18" s="52" t="n"/>
      <c r="AA18" s="53" t="n"/>
      <c r="AB18" s="52" t="n"/>
      <c r="AC18" s="53" t="n"/>
      <c r="AD18" s="52" t="n"/>
      <c r="AE18" s="53" t="n"/>
      <c r="AF18" s="52" t="n"/>
      <c r="AG18" s="53" t="n"/>
      <c r="AH18" s="52" t="n"/>
      <c r="AI18" s="53" t="n"/>
      <c r="AJ18" s="54" t="n"/>
      <c r="AK18" s="55" t="n"/>
      <c r="AL18" s="54" t="n"/>
      <c r="AM18" s="55" t="n"/>
      <c r="AN18" s="52" t="n"/>
      <c r="AO18" s="53" t="n"/>
      <c r="AP18" s="52" t="n"/>
      <c r="AQ18" s="53" t="n"/>
      <c r="AR18" s="52" t="n"/>
      <c r="AS18" s="53" t="n"/>
      <c r="AT18" s="52" t="n"/>
      <c r="AU18" s="53" t="n"/>
      <c r="AV18" s="52" t="n"/>
      <c r="AW18" s="53" t="n"/>
      <c r="AX18" s="54" t="n"/>
      <c r="AY18" s="55" t="n"/>
      <c r="AZ18" s="54" t="n"/>
      <c r="BA18" s="55" t="n"/>
      <c r="BB18" s="52" t="n"/>
      <c r="BC18" s="53" t="n"/>
      <c r="BD18" s="52" t="n"/>
      <c r="BE18" s="53" t="n"/>
      <c r="BF18" s="52" t="n"/>
      <c r="BG18" s="53" t="n"/>
      <c r="BH18" s="52" t="n"/>
      <c r="BI18" s="53" t="n"/>
      <c r="BJ18" s="52" t="n"/>
      <c r="BK18" s="53" t="n"/>
      <c r="BL18" s="54" t="n"/>
      <c r="BM18" s="55" t="n"/>
      <c r="BN18" s="56">
        <f>IF($A18="","",COUNTIF(D18:BM18,"+"))</f>
        <v/>
      </c>
      <c r="BO18" s="57">
        <f>IF($A18="","",COUNTIF(D18:BM18,"x"))</f>
        <v/>
      </c>
      <c r="BP18" s="57">
        <f>IF($A18="","",COUNTIF(D18:BM18,"-"))</f>
        <v/>
      </c>
      <c r="BQ18" s="58">
        <f>IF($A18="","",BN18+BO18*0.5)</f>
        <v/>
      </c>
      <c r="BR18" s="58">
        <f>IF($A18="","",SUM(E18,G18,I18,K18,M18,O18,Q18,S18,U18,W18,Y18,AA18,AC18,AE18,AG18,AI18,AK18,AM18,AO18,AQ18,AS18,AU18,AW18,AY18,BA18,BC18,BE18,BG18,BI18,BK18,BM18))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9" t="n"/>
      <c r="G19" s="60" t="n"/>
      <c r="H19" s="54" t="n"/>
      <c r="I19" s="55" t="n"/>
      <c r="J19" s="54" t="n"/>
      <c r="K19" s="55" t="n"/>
      <c r="L19" s="59" t="n"/>
      <c r="M19" s="60" t="n"/>
      <c r="N19" s="59" t="n"/>
      <c r="O19" s="60" t="n"/>
      <c r="P19" s="59" t="n"/>
      <c r="Q19" s="60" t="n"/>
      <c r="R19" s="59" t="n"/>
      <c r="S19" s="60" t="n"/>
      <c r="T19" s="59" t="n"/>
      <c r="U19" s="60" t="n"/>
      <c r="V19" s="54" t="n"/>
      <c r="W19" s="55" t="n"/>
      <c r="X19" s="54" t="n"/>
      <c r="Y19" s="55" t="n"/>
      <c r="Z19" s="59" t="n"/>
      <c r="AA19" s="60" t="n"/>
      <c r="AB19" s="59" t="n"/>
      <c r="AC19" s="60" t="n"/>
      <c r="AD19" s="59" t="n"/>
      <c r="AE19" s="60" t="n"/>
      <c r="AF19" s="59" t="n"/>
      <c r="AG19" s="60" t="n"/>
      <c r="AH19" s="59" t="n"/>
      <c r="AI19" s="60" t="n"/>
      <c r="AJ19" s="54" t="n"/>
      <c r="AK19" s="55" t="n"/>
      <c r="AL19" s="54" t="n"/>
      <c r="AM19" s="55" t="n"/>
      <c r="AN19" s="59" t="n"/>
      <c r="AO19" s="60" t="n"/>
      <c r="AP19" s="59" t="n"/>
      <c r="AQ19" s="60" t="n"/>
      <c r="AR19" s="59" t="n"/>
      <c r="AS19" s="60" t="n"/>
      <c r="AT19" s="59" t="n"/>
      <c r="AU19" s="60" t="n"/>
      <c r="AV19" s="59" t="n"/>
      <c r="AW19" s="60" t="n"/>
      <c r="AX19" s="54" t="n"/>
      <c r="AY19" s="55" t="n"/>
      <c r="AZ19" s="54" t="n"/>
      <c r="BA19" s="55" t="n"/>
      <c r="BB19" s="59" t="n"/>
      <c r="BC19" s="60" t="n"/>
      <c r="BD19" s="59" t="n"/>
      <c r="BE19" s="60" t="n"/>
      <c r="BF19" s="59" t="n"/>
      <c r="BG19" s="60" t="n"/>
      <c r="BH19" s="59" t="n"/>
      <c r="BI19" s="60" t="n"/>
      <c r="BJ19" s="59" t="n"/>
      <c r="BK19" s="60" t="n"/>
      <c r="BL19" s="54" t="n"/>
      <c r="BM19" s="55" t="n"/>
      <c r="BN19" s="56">
        <f>IF($A19="","",COUNTIF(D19:BM19,"+"))</f>
        <v/>
      </c>
      <c r="BO19" s="57">
        <f>IF($A19="","",COUNTIF(D19:BM19,"x"))</f>
        <v/>
      </c>
      <c r="BP19" s="57">
        <f>IF($A19="","",COUNTIF(D19:BM19,"-"))</f>
        <v/>
      </c>
      <c r="BQ19" s="58">
        <f>IF($A19="","",BN19+BO19*0.5)</f>
        <v/>
      </c>
      <c r="BR19" s="58">
        <f>IF($A19="","",SUM(E19,G19,I19,K19,M19,O19,Q19,S19,U19,W19,Y19,AA19,AC19,AE19,AG19,AI19,AK19,AM19,AO19,AQ19,AS19,AU19,AW19,AY19,BA19,BC19,BE19,BG19,BI19,BK19,BM19))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2" t="n"/>
      <c r="G20" s="53" t="n"/>
      <c r="H20" s="54" t="n"/>
      <c r="I20" s="55" t="n"/>
      <c r="J20" s="54" t="n"/>
      <c r="K20" s="55" t="n"/>
      <c r="L20" s="52" t="n"/>
      <c r="M20" s="53" t="n"/>
      <c r="N20" s="52" t="n"/>
      <c r="O20" s="53" t="n"/>
      <c r="P20" s="52" t="n"/>
      <c r="Q20" s="53" t="n"/>
      <c r="R20" s="52" t="n"/>
      <c r="S20" s="53" t="n"/>
      <c r="T20" s="52" t="n"/>
      <c r="U20" s="53" t="n"/>
      <c r="V20" s="54" t="n"/>
      <c r="W20" s="55" t="n"/>
      <c r="X20" s="54" t="n"/>
      <c r="Y20" s="55" t="n"/>
      <c r="Z20" s="52" t="n"/>
      <c r="AA20" s="53" t="n"/>
      <c r="AB20" s="52" t="n"/>
      <c r="AC20" s="53" t="n"/>
      <c r="AD20" s="52" t="n"/>
      <c r="AE20" s="53" t="n"/>
      <c r="AF20" s="52" t="n"/>
      <c r="AG20" s="53" t="n"/>
      <c r="AH20" s="52" t="n"/>
      <c r="AI20" s="53" t="n"/>
      <c r="AJ20" s="54" t="n"/>
      <c r="AK20" s="55" t="n"/>
      <c r="AL20" s="54" t="n"/>
      <c r="AM20" s="55" t="n"/>
      <c r="AN20" s="52" t="n"/>
      <c r="AO20" s="53" t="n"/>
      <c r="AP20" s="52" t="n"/>
      <c r="AQ20" s="53" t="n"/>
      <c r="AR20" s="52" t="n"/>
      <c r="AS20" s="53" t="n"/>
      <c r="AT20" s="52" t="n"/>
      <c r="AU20" s="53" t="n"/>
      <c r="AV20" s="52" t="n"/>
      <c r="AW20" s="53" t="n"/>
      <c r="AX20" s="54" t="n"/>
      <c r="AY20" s="55" t="n"/>
      <c r="AZ20" s="54" t="n"/>
      <c r="BA20" s="55" t="n"/>
      <c r="BB20" s="52" t="n"/>
      <c r="BC20" s="53" t="n"/>
      <c r="BD20" s="52" t="n"/>
      <c r="BE20" s="53" t="n"/>
      <c r="BF20" s="52" t="n"/>
      <c r="BG20" s="53" t="n"/>
      <c r="BH20" s="52" t="n"/>
      <c r="BI20" s="53" t="n"/>
      <c r="BJ20" s="52" t="n"/>
      <c r="BK20" s="53" t="n"/>
      <c r="BL20" s="54" t="n"/>
      <c r="BM20" s="55" t="n"/>
      <c r="BN20" s="56">
        <f>IF($A20="","",COUNTIF(D20:BM20,"+"))</f>
        <v/>
      </c>
      <c r="BO20" s="57">
        <f>IF($A20="","",COUNTIF(D20:BM20,"x"))</f>
        <v/>
      </c>
      <c r="BP20" s="57">
        <f>IF($A20="","",COUNTIF(D20:BM20,"-"))</f>
        <v/>
      </c>
      <c r="BQ20" s="58">
        <f>IF($A20="","",BN20+BO20*0.5)</f>
        <v/>
      </c>
      <c r="BR20" s="58">
        <f>IF($A20="","",SUM(E20,G20,I20,K20,M20,O20,Q20,S20,U20,W20,Y20,AA20,AC20,AE20,AG20,AI20,AK20,AM20,AO20,AQ20,AS20,AU20,AW20,AY20,BA20,BC20,BE20,BG20,BI20,BK20,BM20))</f>
        <v/>
      </c>
    </row>
  </sheetData>
  <mergeCells count="44">
    <mergeCell ref="F4:G4"/>
    <mergeCell ref="P4:Q4"/>
    <mergeCell ref="AX4:AY4"/>
    <mergeCell ref="BH4:BI4"/>
    <mergeCell ref="C4:C5"/>
    <mergeCell ref="BJ4:BK4"/>
    <mergeCell ref="BP4:BP5"/>
    <mergeCell ref="H4:I4"/>
    <mergeCell ref="BQ4:BQ5"/>
    <mergeCell ref="R4:S4"/>
    <mergeCell ref="A2:C2"/>
    <mergeCell ref="AB4:AC4"/>
    <mergeCell ref="T4:U4"/>
    <mergeCell ref="AF4:AG4"/>
    <mergeCell ref="V4:W4"/>
    <mergeCell ref="AH4:AI4"/>
    <mergeCell ref="AN4:AO4"/>
    <mergeCell ref="BN4:BN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R4:BR5"/>
    <mergeCell ref="D4:E4"/>
    <mergeCell ref="N2:Q2"/>
    <mergeCell ref="D2:G2"/>
    <mergeCell ref="BO4:BO5"/>
    <mergeCell ref="X4:Y4"/>
    <mergeCell ref="AJ4:AK4"/>
    <mergeCell ref="Z4:AA4"/>
    <mergeCell ref="B4:B5"/>
    <mergeCell ref="AL4:AM4"/>
    <mergeCell ref="A1:BR1"/>
    <mergeCell ref="AD4:AE4"/>
    <mergeCell ref="AP4:AQ4"/>
    <mergeCell ref="N4:O4"/>
  </mergeCells>
  <conditionalFormatting sqref="D6:BM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 BL6:BL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 BM6:BM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L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9" customWidth="1" min="60" max="60"/>
    <col width="9" customWidth="1" min="61" max="61"/>
    <col width="9" customWidth="1" min="62" max="62"/>
    <col width="11" customWidth="1" min="63" max="63"/>
    <col width="11" customWidth="1" min="64" max="64"/>
  </cols>
  <sheetData>
    <row r="1" ht="32" customHeight="1">
      <c r="A1" s="1" t="inlineStr">
        <is>
          <t>ŞUBAT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</row>
    <row r="2" ht="20" customHeight="1">
      <c r="A2" s="25" t="inlineStr">
        <is>
          <t>Takvim gün sayısı: 28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49" t="inlineStr">
        <is>
          <t>1
Paz</t>
        </is>
      </c>
      <c r="E4" s="49" t="n"/>
      <c r="F4" s="23" t="inlineStr">
        <is>
          <t>2
Pzt</t>
        </is>
      </c>
      <c r="G4" s="23" t="n"/>
      <c r="H4" s="23" t="inlineStr">
        <is>
          <t>3
Sal</t>
        </is>
      </c>
      <c r="I4" s="23" t="n"/>
      <c r="J4" s="23" t="inlineStr">
        <is>
          <t>4
Çar</t>
        </is>
      </c>
      <c r="K4" s="23" t="n"/>
      <c r="L4" s="23" t="inlineStr">
        <is>
          <t>5
Per</t>
        </is>
      </c>
      <c r="M4" s="23" t="n"/>
      <c r="N4" s="23" t="inlineStr">
        <is>
          <t>6
Cum</t>
        </is>
      </c>
      <c r="O4" s="23" t="n"/>
      <c r="P4" s="49" t="inlineStr">
        <is>
          <t>7
Cmt</t>
        </is>
      </c>
      <c r="Q4" s="49" t="n"/>
      <c r="R4" s="49" t="inlineStr">
        <is>
          <t>8
Paz</t>
        </is>
      </c>
      <c r="S4" s="49" t="n"/>
      <c r="T4" s="23" t="inlineStr">
        <is>
          <t>9
Pzt</t>
        </is>
      </c>
      <c r="U4" s="23" t="n"/>
      <c r="V4" s="23" t="inlineStr">
        <is>
          <t>10
Sal</t>
        </is>
      </c>
      <c r="W4" s="23" t="n"/>
      <c r="X4" s="23" t="inlineStr">
        <is>
          <t>11
Çar</t>
        </is>
      </c>
      <c r="Y4" s="23" t="n"/>
      <c r="Z4" s="23" t="inlineStr">
        <is>
          <t>12
Per</t>
        </is>
      </c>
      <c r="AA4" s="23" t="n"/>
      <c r="AB4" s="23" t="inlineStr">
        <is>
          <t>13
Cum</t>
        </is>
      </c>
      <c r="AC4" s="23" t="n"/>
      <c r="AD4" s="49" t="inlineStr">
        <is>
          <t>14
Cmt</t>
        </is>
      </c>
      <c r="AE4" s="49" t="n"/>
      <c r="AF4" s="49" t="inlineStr">
        <is>
          <t>15
Paz</t>
        </is>
      </c>
      <c r="AG4" s="49" t="n"/>
      <c r="AH4" s="23" t="inlineStr">
        <is>
          <t>16
Pzt</t>
        </is>
      </c>
      <c r="AI4" s="23" t="n"/>
      <c r="AJ4" s="23" t="inlineStr">
        <is>
          <t>17
Sal</t>
        </is>
      </c>
      <c r="AK4" s="23" t="n"/>
      <c r="AL4" s="23" t="inlineStr">
        <is>
          <t>18
Çar</t>
        </is>
      </c>
      <c r="AM4" s="23" t="n"/>
      <c r="AN4" s="23" t="inlineStr">
        <is>
          <t>19
Per</t>
        </is>
      </c>
      <c r="AO4" s="23" t="n"/>
      <c r="AP4" s="23" t="inlineStr">
        <is>
          <t>20
Cum</t>
        </is>
      </c>
      <c r="AQ4" s="23" t="n"/>
      <c r="AR4" s="49" t="inlineStr">
        <is>
          <t>21
Cmt</t>
        </is>
      </c>
      <c r="AS4" s="49" t="n"/>
      <c r="AT4" s="49" t="inlineStr">
        <is>
          <t>22
Paz</t>
        </is>
      </c>
      <c r="AU4" s="49" t="n"/>
      <c r="AV4" s="23" t="inlineStr">
        <is>
          <t>23
Pzt</t>
        </is>
      </c>
      <c r="AW4" s="23" t="n"/>
      <c r="AX4" s="23" t="inlineStr">
        <is>
          <t>24
Sal</t>
        </is>
      </c>
      <c r="AY4" s="23" t="n"/>
      <c r="AZ4" s="23" t="inlineStr">
        <is>
          <t>25
Çar</t>
        </is>
      </c>
      <c r="BA4" s="23" t="n"/>
      <c r="BB4" s="23" t="inlineStr">
        <is>
          <t>26
Per</t>
        </is>
      </c>
      <c r="BC4" s="23" t="n"/>
      <c r="BD4" s="23" t="inlineStr">
        <is>
          <t>27
Cum</t>
        </is>
      </c>
      <c r="BE4" s="23" t="n"/>
      <c r="BF4" s="49" t="inlineStr">
        <is>
          <t>28
Cmt</t>
        </is>
      </c>
      <c r="BG4" s="49" t="n"/>
      <c r="BH4" s="50" t="inlineStr">
        <is>
          <t>Tam Gün
(+)</t>
        </is>
      </c>
      <c r="BI4" s="10" t="inlineStr">
        <is>
          <t>Yarım Gün
(x)</t>
        </is>
      </c>
      <c r="BJ4" s="10" t="inlineStr">
        <is>
          <t>Gelmediği
Gün (-)</t>
        </is>
      </c>
      <c r="BK4" s="10" t="inlineStr">
        <is>
          <t>Fiili
Çalışılan Gün</t>
        </is>
      </c>
      <c r="BL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0" t="n"/>
      <c r="BI5" s="10" t="n"/>
      <c r="BJ5" s="10" t="n"/>
      <c r="BK5" s="10" t="n"/>
      <c r="BL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4" t="n"/>
      <c r="E6" s="55" t="n"/>
      <c r="F6" s="52" t="n"/>
      <c r="G6" s="53" t="n"/>
      <c r="H6" s="52" t="n"/>
      <c r="I6" s="53" t="n"/>
      <c r="J6" s="52" t="n"/>
      <c r="K6" s="53" t="n"/>
      <c r="L6" s="52" t="n"/>
      <c r="M6" s="53" t="n"/>
      <c r="N6" s="52" t="n"/>
      <c r="O6" s="53" t="n"/>
      <c r="P6" s="54" t="n"/>
      <c r="Q6" s="55" t="n"/>
      <c r="R6" s="54" t="n"/>
      <c r="S6" s="55" t="n"/>
      <c r="T6" s="52" t="n"/>
      <c r="U6" s="53" t="n"/>
      <c r="V6" s="52" t="n"/>
      <c r="W6" s="53" t="n"/>
      <c r="X6" s="52" t="n"/>
      <c r="Y6" s="53" t="n"/>
      <c r="Z6" s="52" t="n"/>
      <c r="AA6" s="53" t="n"/>
      <c r="AB6" s="52" t="n"/>
      <c r="AC6" s="53" t="n"/>
      <c r="AD6" s="54" t="n"/>
      <c r="AE6" s="55" t="n"/>
      <c r="AF6" s="54" t="n"/>
      <c r="AG6" s="55" t="n"/>
      <c r="AH6" s="52" t="n"/>
      <c r="AI6" s="53" t="n"/>
      <c r="AJ6" s="52" t="n"/>
      <c r="AK6" s="53" t="n"/>
      <c r="AL6" s="52" t="n"/>
      <c r="AM6" s="53" t="n"/>
      <c r="AN6" s="52" t="n"/>
      <c r="AO6" s="53" t="n"/>
      <c r="AP6" s="52" t="n"/>
      <c r="AQ6" s="53" t="n"/>
      <c r="AR6" s="54" t="n"/>
      <c r="AS6" s="55" t="n"/>
      <c r="AT6" s="54" t="n"/>
      <c r="AU6" s="55" t="n"/>
      <c r="AV6" s="52" t="n"/>
      <c r="AW6" s="53" t="n"/>
      <c r="AX6" s="52" t="n"/>
      <c r="AY6" s="53" t="n"/>
      <c r="AZ6" s="52" t="n"/>
      <c r="BA6" s="53" t="n"/>
      <c r="BB6" s="52" t="n"/>
      <c r="BC6" s="53" t="n"/>
      <c r="BD6" s="52" t="n"/>
      <c r="BE6" s="53" t="n"/>
      <c r="BF6" s="54" t="n"/>
      <c r="BG6" s="55" t="n"/>
      <c r="BH6" s="56">
        <f>IF($A6="","",COUNTIF(D6:BG6,"+"))</f>
        <v/>
      </c>
      <c r="BI6" s="57">
        <f>IF($A6="","",COUNTIF(D6:BG6,"x"))</f>
        <v/>
      </c>
      <c r="BJ6" s="57">
        <f>IF($A6="","",COUNTIF(D6:BG6,"-"))</f>
        <v/>
      </c>
      <c r="BK6" s="58">
        <f>IF($A6="","",BH6+BI6*0.5)</f>
        <v/>
      </c>
      <c r="BL6" s="58">
        <f>IF($A6="","",SUM(E6,G6,I6,K6,M6,O6,Q6,S6,U6,W6,Y6,AA6,AC6,AE6,AG6,AI6,AK6,AM6,AO6,AQ6,AS6,AU6,AW6,AY6,BA6,BC6,BE6,BG6))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4" t="n"/>
      <c r="E7" s="55" t="n"/>
      <c r="F7" s="59" t="n"/>
      <c r="G7" s="60" t="n"/>
      <c r="H7" s="59" t="n"/>
      <c r="I7" s="60" t="n"/>
      <c r="J7" s="59" t="n"/>
      <c r="K7" s="60" t="n"/>
      <c r="L7" s="59" t="n"/>
      <c r="M7" s="60" t="n"/>
      <c r="N7" s="59" t="n"/>
      <c r="O7" s="60" t="n"/>
      <c r="P7" s="54" t="n"/>
      <c r="Q7" s="55" t="n"/>
      <c r="R7" s="54" t="n"/>
      <c r="S7" s="55" t="n"/>
      <c r="T7" s="59" t="n"/>
      <c r="U7" s="60" t="n"/>
      <c r="V7" s="59" t="n"/>
      <c r="W7" s="60" t="n"/>
      <c r="X7" s="59" t="n"/>
      <c r="Y7" s="60" t="n"/>
      <c r="Z7" s="59" t="n"/>
      <c r="AA7" s="60" t="n"/>
      <c r="AB7" s="59" t="n"/>
      <c r="AC7" s="60" t="n"/>
      <c r="AD7" s="54" t="n"/>
      <c r="AE7" s="55" t="n"/>
      <c r="AF7" s="54" t="n"/>
      <c r="AG7" s="55" t="n"/>
      <c r="AH7" s="59" t="n"/>
      <c r="AI7" s="60" t="n"/>
      <c r="AJ7" s="59" t="n"/>
      <c r="AK7" s="60" t="n"/>
      <c r="AL7" s="59" t="n"/>
      <c r="AM7" s="60" t="n"/>
      <c r="AN7" s="59" t="n"/>
      <c r="AO7" s="60" t="n"/>
      <c r="AP7" s="59" t="n"/>
      <c r="AQ7" s="60" t="n"/>
      <c r="AR7" s="54" t="n"/>
      <c r="AS7" s="55" t="n"/>
      <c r="AT7" s="54" t="n"/>
      <c r="AU7" s="55" t="n"/>
      <c r="AV7" s="59" t="n"/>
      <c r="AW7" s="60" t="n"/>
      <c r="AX7" s="59" t="n"/>
      <c r="AY7" s="60" t="n"/>
      <c r="AZ7" s="59" t="n"/>
      <c r="BA7" s="60" t="n"/>
      <c r="BB7" s="59" t="n"/>
      <c r="BC7" s="60" t="n"/>
      <c r="BD7" s="59" t="n"/>
      <c r="BE7" s="60" t="n"/>
      <c r="BF7" s="54" t="n"/>
      <c r="BG7" s="55" t="n"/>
      <c r="BH7" s="56">
        <f>IF($A7="","",COUNTIF(D7:BG7,"+"))</f>
        <v/>
      </c>
      <c r="BI7" s="57">
        <f>IF($A7="","",COUNTIF(D7:BG7,"x"))</f>
        <v/>
      </c>
      <c r="BJ7" s="57">
        <f>IF($A7="","",COUNTIF(D7:BG7,"-"))</f>
        <v/>
      </c>
      <c r="BK7" s="58">
        <f>IF($A7="","",BH7+BI7*0.5)</f>
        <v/>
      </c>
      <c r="BL7" s="58">
        <f>IF($A7="","",SUM(E7,G7,I7,K7,M7,O7,Q7,S7,U7,W7,Y7,AA7,AC7,AE7,AG7,AI7,AK7,AM7,AO7,AQ7,AS7,AU7,AW7,AY7,BA7,BC7,BE7,BG7))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4" t="n"/>
      <c r="E8" s="55" t="n"/>
      <c r="F8" s="52" t="n"/>
      <c r="G8" s="53" t="n"/>
      <c r="H8" s="52" t="n"/>
      <c r="I8" s="53" t="n"/>
      <c r="J8" s="52" t="n"/>
      <c r="K8" s="53" t="n"/>
      <c r="L8" s="52" t="n"/>
      <c r="M8" s="53" t="n"/>
      <c r="N8" s="52" t="n"/>
      <c r="O8" s="53" t="n"/>
      <c r="P8" s="54" t="n"/>
      <c r="Q8" s="55" t="n"/>
      <c r="R8" s="54" t="n"/>
      <c r="S8" s="55" t="n"/>
      <c r="T8" s="52" t="n"/>
      <c r="U8" s="53" t="n"/>
      <c r="V8" s="52" t="n"/>
      <c r="W8" s="53" t="n"/>
      <c r="X8" s="52" t="n"/>
      <c r="Y8" s="53" t="n"/>
      <c r="Z8" s="52" t="n"/>
      <c r="AA8" s="53" t="n"/>
      <c r="AB8" s="52" t="n"/>
      <c r="AC8" s="53" t="n"/>
      <c r="AD8" s="54" t="n"/>
      <c r="AE8" s="55" t="n"/>
      <c r="AF8" s="54" t="n"/>
      <c r="AG8" s="55" t="n"/>
      <c r="AH8" s="52" t="n"/>
      <c r="AI8" s="53" t="n"/>
      <c r="AJ8" s="52" t="n"/>
      <c r="AK8" s="53" t="n"/>
      <c r="AL8" s="52" t="n"/>
      <c r="AM8" s="53" t="n"/>
      <c r="AN8" s="52" t="n"/>
      <c r="AO8" s="53" t="n"/>
      <c r="AP8" s="52" t="n"/>
      <c r="AQ8" s="53" t="n"/>
      <c r="AR8" s="54" t="n"/>
      <c r="AS8" s="55" t="n"/>
      <c r="AT8" s="54" t="n"/>
      <c r="AU8" s="55" t="n"/>
      <c r="AV8" s="52" t="n"/>
      <c r="AW8" s="53" t="n"/>
      <c r="AX8" s="52" t="n"/>
      <c r="AY8" s="53" t="n"/>
      <c r="AZ8" s="52" t="n"/>
      <c r="BA8" s="53" t="n"/>
      <c r="BB8" s="52" t="n"/>
      <c r="BC8" s="53" t="n"/>
      <c r="BD8" s="52" t="n"/>
      <c r="BE8" s="53" t="n"/>
      <c r="BF8" s="54" t="n"/>
      <c r="BG8" s="55" t="n"/>
      <c r="BH8" s="56">
        <f>IF($A8="","",COUNTIF(D8:BG8,"+"))</f>
        <v/>
      </c>
      <c r="BI8" s="57">
        <f>IF($A8="","",COUNTIF(D8:BG8,"x"))</f>
        <v/>
      </c>
      <c r="BJ8" s="57">
        <f>IF($A8="","",COUNTIF(D8:BG8,"-"))</f>
        <v/>
      </c>
      <c r="BK8" s="58">
        <f>IF($A8="","",BH8+BI8*0.5)</f>
        <v/>
      </c>
      <c r="BL8" s="58">
        <f>IF($A8="","",SUM(E8,G8,I8,K8,M8,O8,Q8,S8,U8,W8,Y8,AA8,AC8,AE8,AG8,AI8,AK8,AM8,AO8,AQ8,AS8,AU8,AW8,AY8,BA8,BC8,BE8,BG8))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4" t="n"/>
      <c r="E9" s="55" t="n"/>
      <c r="F9" s="59" t="n"/>
      <c r="G9" s="60" t="n"/>
      <c r="H9" s="59" t="n"/>
      <c r="I9" s="60" t="n"/>
      <c r="J9" s="59" t="n"/>
      <c r="K9" s="60" t="n"/>
      <c r="L9" s="59" t="n"/>
      <c r="M9" s="60" t="n"/>
      <c r="N9" s="59" t="n"/>
      <c r="O9" s="60" t="n"/>
      <c r="P9" s="54" t="n"/>
      <c r="Q9" s="55" t="n"/>
      <c r="R9" s="54" t="n"/>
      <c r="S9" s="55" t="n"/>
      <c r="T9" s="59" t="n"/>
      <c r="U9" s="60" t="n"/>
      <c r="V9" s="59" t="n"/>
      <c r="W9" s="60" t="n"/>
      <c r="X9" s="59" t="n"/>
      <c r="Y9" s="60" t="n"/>
      <c r="Z9" s="59" t="n"/>
      <c r="AA9" s="60" t="n"/>
      <c r="AB9" s="59" t="n"/>
      <c r="AC9" s="60" t="n"/>
      <c r="AD9" s="54" t="n"/>
      <c r="AE9" s="55" t="n"/>
      <c r="AF9" s="54" t="n"/>
      <c r="AG9" s="55" t="n"/>
      <c r="AH9" s="59" t="n"/>
      <c r="AI9" s="60" t="n"/>
      <c r="AJ9" s="59" t="n"/>
      <c r="AK9" s="60" t="n"/>
      <c r="AL9" s="59" t="n"/>
      <c r="AM9" s="60" t="n"/>
      <c r="AN9" s="59" t="n"/>
      <c r="AO9" s="60" t="n"/>
      <c r="AP9" s="59" t="n"/>
      <c r="AQ9" s="60" t="n"/>
      <c r="AR9" s="54" t="n"/>
      <c r="AS9" s="55" t="n"/>
      <c r="AT9" s="54" t="n"/>
      <c r="AU9" s="55" t="n"/>
      <c r="AV9" s="59" t="n"/>
      <c r="AW9" s="60" t="n"/>
      <c r="AX9" s="59" t="n"/>
      <c r="AY9" s="60" t="n"/>
      <c r="AZ9" s="59" t="n"/>
      <c r="BA9" s="60" t="n"/>
      <c r="BB9" s="59" t="n"/>
      <c r="BC9" s="60" t="n"/>
      <c r="BD9" s="59" t="n"/>
      <c r="BE9" s="60" t="n"/>
      <c r="BF9" s="54" t="n"/>
      <c r="BG9" s="55" t="n"/>
      <c r="BH9" s="56">
        <f>IF($A9="","",COUNTIF(D9:BG9,"+"))</f>
        <v/>
      </c>
      <c r="BI9" s="57">
        <f>IF($A9="","",COUNTIF(D9:BG9,"x"))</f>
        <v/>
      </c>
      <c r="BJ9" s="57">
        <f>IF($A9="","",COUNTIF(D9:BG9,"-"))</f>
        <v/>
      </c>
      <c r="BK9" s="58">
        <f>IF($A9="","",BH9+BI9*0.5)</f>
        <v/>
      </c>
      <c r="BL9" s="58">
        <f>IF($A9="","",SUM(E9,G9,I9,K9,M9,O9,Q9,S9,U9,W9,Y9,AA9,AC9,AE9,AG9,AI9,AK9,AM9,AO9,AQ9,AS9,AU9,AW9,AY9,BA9,BC9,BE9,BG9))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4" t="n"/>
      <c r="E10" s="55" t="n"/>
      <c r="F10" s="52" t="n"/>
      <c r="G10" s="53" t="n"/>
      <c r="H10" s="52" t="n"/>
      <c r="I10" s="53" t="n"/>
      <c r="J10" s="52" t="n"/>
      <c r="K10" s="53" t="n"/>
      <c r="L10" s="52" t="n"/>
      <c r="M10" s="53" t="n"/>
      <c r="N10" s="52" t="n"/>
      <c r="O10" s="53" t="n"/>
      <c r="P10" s="54" t="n"/>
      <c r="Q10" s="55" t="n"/>
      <c r="R10" s="54" t="n"/>
      <c r="S10" s="55" t="n"/>
      <c r="T10" s="52" t="n"/>
      <c r="U10" s="53" t="n"/>
      <c r="V10" s="52" t="n"/>
      <c r="W10" s="53" t="n"/>
      <c r="X10" s="52" t="n"/>
      <c r="Y10" s="53" t="n"/>
      <c r="Z10" s="52" t="n"/>
      <c r="AA10" s="53" t="n"/>
      <c r="AB10" s="52" t="n"/>
      <c r="AC10" s="53" t="n"/>
      <c r="AD10" s="54" t="n"/>
      <c r="AE10" s="55" t="n"/>
      <c r="AF10" s="54" t="n"/>
      <c r="AG10" s="55" t="n"/>
      <c r="AH10" s="52" t="n"/>
      <c r="AI10" s="53" t="n"/>
      <c r="AJ10" s="52" t="n"/>
      <c r="AK10" s="53" t="n"/>
      <c r="AL10" s="52" t="n"/>
      <c r="AM10" s="53" t="n"/>
      <c r="AN10" s="52" t="n"/>
      <c r="AO10" s="53" t="n"/>
      <c r="AP10" s="52" t="n"/>
      <c r="AQ10" s="53" t="n"/>
      <c r="AR10" s="54" t="n"/>
      <c r="AS10" s="55" t="n"/>
      <c r="AT10" s="54" t="n"/>
      <c r="AU10" s="55" t="n"/>
      <c r="AV10" s="52" t="n"/>
      <c r="AW10" s="53" t="n"/>
      <c r="AX10" s="52" t="n"/>
      <c r="AY10" s="53" t="n"/>
      <c r="AZ10" s="52" t="n"/>
      <c r="BA10" s="53" t="n"/>
      <c r="BB10" s="52" t="n"/>
      <c r="BC10" s="53" t="n"/>
      <c r="BD10" s="52" t="n"/>
      <c r="BE10" s="53" t="n"/>
      <c r="BF10" s="54" t="n"/>
      <c r="BG10" s="55" t="n"/>
      <c r="BH10" s="56">
        <f>IF($A10="","",COUNTIF(D10:BG10,"+"))</f>
        <v/>
      </c>
      <c r="BI10" s="57">
        <f>IF($A10="","",COUNTIF(D10:BG10,"x"))</f>
        <v/>
      </c>
      <c r="BJ10" s="57">
        <f>IF($A10="","",COUNTIF(D10:BG10,"-"))</f>
        <v/>
      </c>
      <c r="BK10" s="58">
        <f>IF($A10="","",BH10+BI10*0.5)</f>
        <v/>
      </c>
      <c r="BL10" s="58">
        <f>IF($A10="","",SUM(E10,G10,I10,K10,M10,O10,Q10,S10,U10,W10,Y10,AA10,AC10,AE10,AG10,AI10,AK10,AM10,AO10,AQ10,AS10,AU10,AW10,AY10,BA10,BC10,BE10,BG10))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4" t="n"/>
      <c r="E11" s="55" t="n"/>
      <c r="F11" s="59" t="n"/>
      <c r="G11" s="60" t="n"/>
      <c r="H11" s="59" t="n"/>
      <c r="I11" s="60" t="n"/>
      <c r="J11" s="59" t="n"/>
      <c r="K11" s="60" t="n"/>
      <c r="L11" s="59" t="n"/>
      <c r="M11" s="60" t="n"/>
      <c r="N11" s="59" t="n"/>
      <c r="O11" s="60" t="n"/>
      <c r="P11" s="54" t="n"/>
      <c r="Q11" s="55" t="n"/>
      <c r="R11" s="54" t="n"/>
      <c r="S11" s="55" t="n"/>
      <c r="T11" s="59" t="n"/>
      <c r="U11" s="60" t="n"/>
      <c r="V11" s="59" t="n"/>
      <c r="W11" s="60" t="n"/>
      <c r="X11" s="59" t="n"/>
      <c r="Y11" s="60" t="n"/>
      <c r="Z11" s="59" t="n"/>
      <c r="AA11" s="60" t="n"/>
      <c r="AB11" s="59" t="n"/>
      <c r="AC11" s="60" t="n"/>
      <c r="AD11" s="54" t="n"/>
      <c r="AE11" s="55" t="n"/>
      <c r="AF11" s="54" t="n"/>
      <c r="AG11" s="55" t="n"/>
      <c r="AH11" s="59" t="n"/>
      <c r="AI11" s="60" t="n"/>
      <c r="AJ11" s="59" t="n"/>
      <c r="AK11" s="60" t="n"/>
      <c r="AL11" s="59" t="n"/>
      <c r="AM11" s="60" t="n"/>
      <c r="AN11" s="59" t="n"/>
      <c r="AO11" s="60" t="n"/>
      <c r="AP11" s="59" t="n"/>
      <c r="AQ11" s="60" t="n"/>
      <c r="AR11" s="54" t="n"/>
      <c r="AS11" s="55" t="n"/>
      <c r="AT11" s="54" t="n"/>
      <c r="AU11" s="55" t="n"/>
      <c r="AV11" s="59" t="n"/>
      <c r="AW11" s="60" t="n"/>
      <c r="AX11" s="59" t="n"/>
      <c r="AY11" s="60" t="n"/>
      <c r="AZ11" s="59" t="n"/>
      <c r="BA11" s="60" t="n"/>
      <c r="BB11" s="59" t="n"/>
      <c r="BC11" s="60" t="n"/>
      <c r="BD11" s="59" t="n"/>
      <c r="BE11" s="60" t="n"/>
      <c r="BF11" s="54" t="n"/>
      <c r="BG11" s="55" t="n"/>
      <c r="BH11" s="56">
        <f>IF($A11="","",COUNTIF(D11:BG11,"+"))</f>
        <v/>
      </c>
      <c r="BI11" s="57">
        <f>IF($A11="","",COUNTIF(D11:BG11,"x"))</f>
        <v/>
      </c>
      <c r="BJ11" s="57">
        <f>IF($A11="","",COUNTIF(D11:BG11,"-"))</f>
        <v/>
      </c>
      <c r="BK11" s="58">
        <f>IF($A11="","",BH11+BI11*0.5)</f>
        <v/>
      </c>
      <c r="BL11" s="58">
        <f>IF($A11="","",SUM(E11,G11,I11,K11,M11,O11,Q11,S11,U11,W11,Y11,AA11,AC11,AE11,AG11,AI11,AK11,AM11,AO11,AQ11,AS11,AU11,AW11,AY11,BA11,BC11,BE11,BG11))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4" t="n"/>
      <c r="E12" s="55" t="n"/>
      <c r="F12" s="52" t="n"/>
      <c r="G12" s="53" t="n"/>
      <c r="H12" s="52" t="n"/>
      <c r="I12" s="53" t="n"/>
      <c r="J12" s="52" t="n"/>
      <c r="K12" s="53" t="n"/>
      <c r="L12" s="52" t="n"/>
      <c r="M12" s="53" t="n"/>
      <c r="N12" s="52" t="n"/>
      <c r="O12" s="53" t="n"/>
      <c r="P12" s="54" t="n"/>
      <c r="Q12" s="55" t="n"/>
      <c r="R12" s="54" t="n"/>
      <c r="S12" s="55" t="n"/>
      <c r="T12" s="52" t="n"/>
      <c r="U12" s="53" t="n"/>
      <c r="V12" s="52" t="n"/>
      <c r="W12" s="53" t="n"/>
      <c r="X12" s="52" t="n"/>
      <c r="Y12" s="53" t="n"/>
      <c r="Z12" s="52" t="n"/>
      <c r="AA12" s="53" t="n"/>
      <c r="AB12" s="52" t="n"/>
      <c r="AC12" s="53" t="n"/>
      <c r="AD12" s="54" t="n"/>
      <c r="AE12" s="55" t="n"/>
      <c r="AF12" s="54" t="n"/>
      <c r="AG12" s="55" t="n"/>
      <c r="AH12" s="52" t="n"/>
      <c r="AI12" s="53" t="n"/>
      <c r="AJ12" s="52" t="n"/>
      <c r="AK12" s="53" t="n"/>
      <c r="AL12" s="52" t="n"/>
      <c r="AM12" s="53" t="n"/>
      <c r="AN12" s="52" t="n"/>
      <c r="AO12" s="53" t="n"/>
      <c r="AP12" s="52" t="n"/>
      <c r="AQ12" s="53" t="n"/>
      <c r="AR12" s="54" t="n"/>
      <c r="AS12" s="55" t="n"/>
      <c r="AT12" s="54" t="n"/>
      <c r="AU12" s="55" t="n"/>
      <c r="AV12" s="52" t="n"/>
      <c r="AW12" s="53" t="n"/>
      <c r="AX12" s="52" t="n"/>
      <c r="AY12" s="53" t="n"/>
      <c r="AZ12" s="52" t="n"/>
      <c r="BA12" s="53" t="n"/>
      <c r="BB12" s="52" t="n"/>
      <c r="BC12" s="53" t="n"/>
      <c r="BD12" s="52" t="n"/>
      <c r="BE12" s="53" t="n"/>
      <c r="BF12" s="54" t="n"/>
      <c r="BG12" s="55" t="n"/>
      <c r="BH12" s="56">
        <f>IF($A12="","",COUNTIF(D12:BG12,"+"))</f>
        <v/>
      </c>
      <c r="BI12" s="57">
        <f>IF($A12="","",COUNTIF(D12:BG12,"x"))</f>
        <v/>
      </c>
      <c r="BJ12" s="57">
        <f>IF($A12="","",COUNTIF(D12:BG12,"-"))</f>
        <v/>
      </c>
      <c r="BK12" s="58">
        <f>IF($A12="","",BH12+BI12*0.5)</f>
        <v/>
      </c>
      <c r="BL12" s="58">
        <f>IF($A12="","",SUM(E12,G12,I12,K12,M12,O12,Q12,S12,U12,W12,Y12,AA12,AC12,AE12,AG12,AI12,AK12,AM12,AO12,AQ12,AS12,AU12,AW12,AY12,BA12,BC12,BE12,BG12))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4" t="n"/>
      <c r="E13" s="55" t="n"/>
      <c r="F13" s="59" t="n"/>
      <c r="G13" s="60" t="n"/>
      <c r="H13" s="59" t="n"/>
      <c r="I13" s="60" t="n"/>
      <c r="J13" s="59" t="n"/>
      <c r="K13" s="60" t="n"/>
      <c r="L13" s="59" t="n"/>
      <c r="M13" s="60" t="n"/>
      <c r="N13" s="59" t="n"/>
      <c r="O13" s="60" t="n"/>
      <c r="P13" s="54" t="n"/>
      <c r="Q13" s="55" t="n"/>
      <c r="R13" s="54" t="n"/>
      <c r="S13" s="55" t="n"/>
      <c r="T13" s="59" t="n"/>
      <c r="U13" s="60" t="n"/>
      <c r="V13" s="59" t="n"/>
      <c r="W13" s="60" t="n"/>
      <c r="X13" s="59" t="n"/>
      <c r="Y13" s="60" t="n"/>
      <c r="Z13" s="59" t="n"/>
      <c r="AA13" s="60" t="n"/>
      <c r="AB13" s="59" t="n"/>
      <c r="AC13" s="60" t="n"/>
      <c r="AD13" s="54" t="n"/>
      <c r="AE13" s="55" t="n"/>
      <c r="AF13" s="54" t="n"/>
      <c r="AG13" s="55" t="n"/>
      <c r="AH13" s="59" t="n"/>
      <c r="AI13" s="60" t="n"/>
      <c r="AJ13" s="59" t="n"/>
      <c r="AK13" s="60" t="n"/>
      <c r="AL13" s="59" t="n"/>
      <c r="AM13" s="60" t="n"/>
      <c r="AN13" s="59" t="n"/>
      <c r="AO13" s="60" t="n"/>
      <c r="AP13" s="59" t="n"/>
      <c r="AQ13" s="60" t="n"/>
      <c r="AR13" s="54" t="n"/>
      <c r="AS13" s="55" t="n"/>
      <c r="AT13" s="54" t="n"/>
      <c r="AU13" s="55" t="n"/>
      <c r="AV13" s="59" t="n"/>
      <c r="AW13" s="60" t="n"/>
      <c r="AX13" s="59" t="n"/>
      <c r="AY13" s="60" t="n"/>
      <c r="AZ13" s="59" t="n"/>
      <c r="BA13" s="60" t="n"/>
      <c r="BB13" s="59" t="n"/>
      <c r="BC13" s="60" t="n"/>
      <c r="BD13" s="59" t="n"/>
      <c r="BE13" s="60" t="n"/>
      <c r="BF13" s="54" t="n"/>
      <c r="BG13" s="55" t="n"/>
      <c r="BH13" s="56">
        <f>IF($A13="","",COUNTIF(D13:BG13,"+"))</f>
        <v/>
      </c>
      <c r="BI13" s="57">
        <f>IF($A13="","",COUNTIF(D13:BG13,"x"))</f>
        <v/>
      </c>
      <c r="BJ13" s="57">
        <f>IF($A13="","",COUNTIF(D13:BG13,"-"))</f>
        <v/>
      </c>
      <c r="BK13" s="58">
        <f>IF($A13="","",BH13+BI13*0.5)</f>
        <v/>
      </c>
      <c r="BL13" s="58">
        <f>IF($A13="","",SUM(E13,G13,I13,K13,M13,O13,Q13,S13,U13,W13,Y13,AA13,AC13,AE13,AG13,AI13,AK13,AM13,AO13,AQ13,AS13,AU13,AW13,AY13,BA13,BC13,BE13,BG13))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4" t="n"/>
      <c r="E14" s="55" t="n"/>
      <c r="F14" s="52" t="n"/>
      <c r="G14" s="53" t="n"/>
      <c r="H14" s="52" t="n"/>
      <c r="I14" s="53" t="n"/>
      <c r="J14" s="52" t="n"/>
      <c r="K14" s="53" t="n"/>
      <c r="L14" s="52" t="n"/>
      <c r="M14" s="53" t="n"/>
      <c r="N14" s="52" t="n"/>
      <c r="O14" s="53" t="n"/>
      <c r="P14" s="54" t="n"/>
      <c r="Q14" s="55" t="n"/>
      <c r="R14" s="54" t="n"/>
      <c r="S14" s="55" t="n"/>
      <c r="T14" s="52" t="n"/>
      <c r="U14" s="53" t="n"/>
      <c r="V14" s="52" t="n"/>
      <c r="W14" s="53" t="n"/>
      <c r="X14" s="52" t="n"/>
      <c r="Y14" s="53" t="n"/>
      <c r="Z14" s="52" t="n"/>
      <c r="AA14" s="53" t="n"/>
      <c r="AB14" s="52" t="n"/>
      <c r="AC14" s="53" t="n"/>
      <c r="AD14" s="54" t="n"/>
      <c r="AE14" s="55" t="n"/>
      <c r="AF14" s="54" t="n"/>
      <c r="AG14" s="55" t="n"/>
      <c r="AH14" s="52" t="n"/>
      <c r="AI14" s="53" t="n"/>
      <c r="AJ14" s="52" t="n"/>
      <c r="AK14" s="53" t="n"/>
      <c r="AL14" s="52" t="n"/>
      <c r="AM14" s="53" t="n"/>
      <c r="AN14" s="52" t="n"/>
      <c r="AO14" s="53" t="n"/>
      <c r="AP14" s="52" t="n"/>
      <c r="AQ14" s="53" t="n"/>
      <c r="AR14" s="54" t="n"/>
      <c r="AS14" s="55" t="n"/>
      <c r="AT14" s="54" t="n"/>
      <c r="AU14" s="55" t="n"/>
      <c r="AV14" s="52" t="n"/>
      <c r="AW14" s="53" t="n"/>
      <c r="AX14" s="52" t="n"/>
      <c r="AY14" s="53" t="n"/>
      <c r="AZ14" s="52" t="n"/>
      <c r="BA14" s="53" t="n"/>
      <c r="BB14" s="52" t="n"/>
      <c r="BC14" s="53" t="n"/>
      <c r="BD14" s="52" t="n"/>
      <c r="BE14" s="53" t="n"/>
      <c r="BF14" s="54" t="n"/>
      <c r="BG14" s="55" t="n"/>
      <c r="BH14" s="56">
        <f>IF($A14="","",COUNTIF(D14:BG14,"+"))</f>
        <v/>
      </c>
      <c r="BI14" s="57">
        <f>IF($A14="","",COUNTIF(D14:BG14,"x"))</f>
        <v/>
      </c>
      <c r="BJ14" s="57">
        <f>IF($A14="","",COUNTIF(D14:BG14,"-"))</f>
        <v/>
      </c>
      <c r="BK14" s="58">
        <f>IF($A14="","",BH14+BI14*0.5)</f>
        <v/>
      </c>
      <c r="BL14" s="58">
        <f>IF($A14="","",SUM(E14,G14,I14,K14,M14,O14,Q14,S14,U14,W14,Y14,AA14,AC14,AE14,AG14,AI14,AK14,AM14,AO14,AQ14,AS14,AU14,AW14,AY14,BA14,BC14,BE14,BG14))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4" t="n"/>
      <c r="E15" s="55" t="n"/>
      <c r="F15" s="59" t="n"/>
      <c r="G15" s="60" t="n"/>
      <c r="H15" s="59" t="n"/>
      <c r="I15" s="60" t="n"/>
      <c r="J15" s="59" t="n"/>
      <c r="K15" s="60" t="n"/>
      <c r="L15" s="59" t="n"/>
      <c r="M15" s="60" t="n"/>
      <c r="N15" s="59" t="n"/>
      <c r="O15" s="60" t="n"/>
      <c r="P15" s="54" t="n"/>
      <c r="Q15" s="55" t="n"/>
      <c r="R15" s="54" t="n"/>
      <c r="S15" s="55" t="n"/>
      <c r="T15" s="59" t="n"/>
      <c r="U15" s="60" t="n"/>
      <c r="V15" s="59" t="n"/>
      <c r="W15" s="60" t="n"/>
      <c r="X15" s="59" t="n"/>
      <c r="Y15" s="60" t="n"/>
      <c r="Z15" s="59" t="n"/>
      <c r="AA15" s="60" t="n"/>
      <c r="AB15" s="59" t="n"/>
      <c r="AC15" s="60" t="n"/>
      <c r="AD15" s="54" t="n"/>
      <c r="AE15" s="55" t="n"/>
      <c r="AF15" s="54" t="n"/>
      <c r="AG15" s="55" t="n"/>
      <c r="AH15" s="59" t="n"/>
      <c r="AI15" s="60" t="n"/>
      <c r="AJ15" s="59" t="n"/>
      <c r="AK15" s="60" t="n"/>
      <c r="AL15" s="59" t="n"/>
      <c r="AM15" s="60" t="n"/>
      <c r="AN15" s="59" t="n"/>
      <c r="AO15" s="60" t="n"/>
      <c r="AP15" s="59" t="n"/>
      <c r="AQ15" s="60" t="n"/>
      <c r="AR15" s="54" t="n"/>
      <c r="AS15" s="55" t="n"/>
      <c r="AT15" s="54" t="n"/>
      <c r="AU15" s="55" t="n"/>
      <c r="AV15" s="59" t="n"/>
      <c r="AW15" s="60" t="n"/>
      <c r="AX15" s="59" t="n"/>
      <c r="AY15" s="60" t="n"/>
      <c r="AZ15" s="59" t="n"/>
      <c r="BA15" s="60" t="n"/>
      <c r="BB15" s="59" t="n"/>
      <c r="BC15" s="60" t="n"/>
      <c r="BD15" s="59" t="n"/>
      <c r="BE15" s="60" t="n"/>
      <c r="BF15" s="54" t="n"/>
      <c r="BG15" s="55" t="n"/>
      <c r="BH15" s="56">
        <f>IF($A15="","",COUNTIF(D15:BG15,"+"))</f>
        <v/>
      </c>
      <c r="BI15" s="57">
        <f>IF($A15="","",COUNTIF(D15:BG15,"x"))</f>
        <v/>
      </c>
      <c r="BJ15" s="57">
        <f>IF($A15="","",COUNTIF(D15:BG15,"-"))</f>
        <v/>
      </c>
      <c r="BK15" s="58">
        <f>IF($A15="","",BH15+BI15*0.5)</f>
        <v/>
      </c>
      <c r="BL15" s="58">
        <f>IF($A15="","",SUM(E15,G15,I15,K15,M15,O15,Q15,S15,U15,W15,Y15,AA15,AC15,AE15,AG15,AI15,AK15,AM15,AO15,AQ15,AS15,AU15,AW15,AY15,BA15,BC15,BE15,BG15))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4" t="n"/>
      <c r="E16" s="55" t="n"/>
      <c r="F16" s="52" t="n"/>
      <c r="G16" s="53" t="n"/>
      <c r="H16" s="52" t="n"/>
      <c r="I16" s="53" t="n"/>
      <c r="J16" s="52" t="n"/>
      <c r="K16" s="53" t="n"/>
      <c r="L16" s="52" t="n"/>
      <c r="M16" s="53" t="n"/>
      <c r="N16" s="52" t="n"/>
      <c r="O16" s="53" t="n"/>
      <c r="P16" s="54" t="n"/>
      <c r="Q16" s="55" t="n"/>
      <c r="R16" s="54" t="n"/>
      <c r="S16" s="55" t="n"/>
      <c r="T16" s="52" t="n"/>
      <c r="U16" s="53" t="n"/>
      <c r="V16" s="52" t="n"/>
      <c r="W16" s="53" t="n"/>
      <c r="X16" s="52" t="n"/>
      <c r="Y16" s="53" t="n"/>
      <c r="Z16" s="52" t="n"/>
      <c r="AA16" s="53" t="n"/>
      <c r="AB16" s="52" t="n"/>
      <c r="AC16" s="53" t="n"/>
      <c r="AD16" s="54" t="n"/>
      <c r="AE16" s="55" t="n"/>
      <c r="AF16" s="54" t="n"/>
      <c r="AG16" s="55" t="n"/>
      <c r="AH16" s="52" t="n"/>
      <c r="AI16" s="53" t="n"/>
      <c r="AJ16" s="52" t="n"/>
      <c r="AK16" s="53" t="n"/>
      <c r="AL16" s="52" t="n"/>
      <c r="AM16" s="53" t="n"/>
      <c r="AN16" s="52" t="n"/>
      <c r="AO16" s="53" t="n"/>
      <c r="AP16" s="52" t="n"/>
      <c r="AQ16" s="53" t="n"/>
      <c r="AR16" s="54" t="n"/>
      <c r="AS16" s="55" t="n"/>
      <c r="AT16" s="54" t="n"/>
      <c r="AU16" s="55" t="n"/>
      <c r="AV16" s="52" t="n"/>
      <c r="AW16" s="53" t="n"/>
      <c r="AX16" s="52" t="n"/>
      <c r="AY16" s="53" t="n"/>
      <c r="AZ16" s="52" t="n"/>
      <c r="BA16" s="53" t="n"/>
      <c r="BB16" s="52" t="n"/>
      <c r="BC16" s="53" t="n"/>
      <c r="BD16" s="52" t="n"/>
      <c r="BE16" s="53" t="n"/>
      <c r="BF16" s="54" t="n"/>
      <c r="BG16" s="55" t="n"/>
      <c r="BH16" s="56">
        <f>IF($A16="","",COUNTIF(D16:BG16,"+"))</f>
        <v/>
      </c>
      <c r="BI16" s="57">
        <f>IF($A16="","",COUNTIF(D16:BG16,"x"))</f>
        <v/>
      </c>
      <c r="BJ16" s="57">
        <f>IF($A16="","",COUNTIF(D16:BG16,"-"))</f>
        <v/>
      </c>
      <c r="BK16" s="58">
        <f>IF($A16="","",BH16+BI16*0.5)</f>
        <v/>
      </c>
      <c r="BL16" s="58">
        <f>IF($A16="","",SUM(E16,G16,I16,K16,M16,O16,Q16,S16,U16,W16,Y16,AA16,AC16,AE16,AG16,AI16,AK16,AM16,AO16,AQ16,AS16,AU16,AW16,AY16,BA16,BC16,BE16,BG16))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4" t="n"/>
      <c r="E17" s="55" t="n"/>
      <c r="F17" s="59" t="n"/>
      <c r="G17" s="60" t="n"/>
      <c r="H17" s="59" t="n"/>
      <c r="I17" s="60" t="n"/>
      <c r="J17" s="59" t="n"/>
      <c r="K17" s="60" t="n"/>
      <c r="L17" s="59" t="n"/>
      <c r="M17" s="60" t="n"/>
      <c r="N17" s="59" t="n"/>
      <c r="O17" s="60" t="n"/>
      <c r="P17" s="54" t="n"/>
      <c r="Q17" s="55" t="n"/>
      <c r="R17" s="54" t="n"/>
      <c r="S17" s="55" t="n"/>
      <c r="T17" s="59" t="n"/>
      <c r="U17" s="60" t="n"/>
      <c r="V17" s="59" t="n"/>
      <c r="W17" s="60" t="n"/>
      <c r="X17" s="59" t="n"/>
      <c r="Y17" s="60" t="n"/>
      <c r="Z17" s="59" t="n"/>
      <c r="AA17" s="60" t="n"/>
      <c r="AB17" s="59" t="n"/>
      <c r="AC17" s="60" t="n"/>
      <c r="AD17" s="54" t="n"/>
      <c r="AE17" s="55" t="n"/>
      <c r="AF17" s="54" t="n"/>
      <c r="AG17" s="55" t="n"/>
      <c r="AH17" s="59" t="n"/>
      <c r="AI17" s="60" t="n"/>
      <c r="AJ17" s="59" t="n"/>
      <c r="AK17" s="60" t="n"/>
      <c r="AL17" s="59" t="n"/>
      <c r="AM17" s="60" t="n"/>
      <c r="AN17" s="59" t="n"/>
      <c r="AO17" s="60" t="n"/>
      <c r="AP17" s="59" t="n"/>
      <c r="AQ17" s="60" t="n"/>
      <c r="AR17" s="54" t="n"/>
      <c r="AS17" s="55" t="n"/>
      <c r="AT17" s="54" t="n"/>
      <c r="AU17" s="55" t="n"/>
      <c r="AV17" s="59" t="n"/>
      <c r="AW17" s="60" t="n"/>
      <c r="AX17" s="59" t="n"/>
      <c r="AY17" s="60" t="n"/>
      <c r="AZ17" s="59" t="n"/>
      <c r="BA17" s="60" t="n"/>
      <c r="BB17" s="59" t="n"/>
      <c r="BC17" s="60" t="n"/>
      <c r="BD17" s="59" t="n"/>
      <c r="BE17" s="60" t="n"/>
      <c r="BF17" s="54" t="n"/>
      <c r="BG17" s="55" t="n"/>
      <c r="BH17" s="56">
        <f>IF($A17="","",COUNTIF(D17:BG17,"+"))</f>
        <v/>
      </c>
      <c r="BI17" s="57">
        <f>IF($A17="","",COUNTIF(D17:BG17,"x"))</f>
        <v/>
      </c>
      <c r="BJ17" s="57">
        <f>IF($A17="","",COUNTIF(D17:BG17,"-"))</f>
        <v/>
      </c>
      <c r="BK17" s="58">
        <f>IF($A17="","",BH17+BI17*0.5)</f>
        <v/>
      </c>
      <c r="BL17" s="58">
        <f>IF($A17="","",SUM(E17,G17,I17,K17,M17,O17,Q17,S17,U17,W17,Y17,AA17,AC17,AE17,AG17,AI17,AK17,AM17,AO17,AQ17,AS17,AU17,AW17,AY17,BA17,BC17,BE17,BG17))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4" t="n"/>
      <c r="E18" s="55" t="n"/>
      <c r="F18" s="52" t="n"/>
      <c r="G18" s="53" t="n"/>
      <c r="H18" s="52" t="n"/>
      <c r="I18" s="53" t="n"/>
      <c r="J18" s="52" t="n"/>
      <c r="K18" s="53" t="n"/>
      <c r="L18" s="52" t="n"/>
      <c r="M18" s="53" t="n"/>
      <c r="N18" s="52" t="n"/>
      <c r="O18" s="53" t="n"/>
      <c r="P18" s="54" t="n"/>
      <c r="Q18" s="55" t="n"/>
      <c r="R18" s="54" t="n"/>
      <c r="S18" s="55" t="n"/>
      <c r="T18" s="52" t="n"/>
      <c r="U18" s="53" t="n"/>
      <c r="V18" s="52" t="n"/>
      <c r="W18" s="53" t="n"/>
      <c r="X18" s="52" t="n"/>
      <c r="Y18" s="53" t="n"/>
      <c r="Z18" s="52" t="n"/>
      <c r="AA18" s="53" t="n"/>
      <c r="AB18" s="52" t="n"/>
      <c r="AC18" s="53" t="n"/>
      <c r="AD18" s="54" t="n"/>
      <c r="AE18" s="55" t="n"/>
      <c r="AF18" s="54" t="n"/>
      <c r="AG18" s="55" t="n"/>
      <c r="AH18" s="52" t="n"/>
      <c r="AI18" s="53" t="n"/>
      <c r="AJ18" s="52" t="n"/>
      <c r="AK18" s="53" t="n"/>
      <c r="AL18" s="52" t="n"/>
      <c r="AM18" s="53" t="n"/>
      <c r="AN18" s="52" t="n"/>
      <c r="AO18" s="53" t="n"/>
      <c r="AP18" s="52" t="n"/>
      <c r="AQ18" s="53" t="n"/>
      <c r="AR18" s="54" t="n"/>
      <c r="AS18" s="55" t="n"/>
      <c r="AT18" s="54" t="n"/>
      <c r="AU18" s="55" t="n"/>
      <c r="AV18" s="52" t="n"/>
      <c r="AW18" s="53" t="n"/>
      <c r="AX18" s="52" t="n"/>
      <c r="AY18" s="53" t="n"/>
      <c r="AZ18" s="52" t="n"/>
      <c r="BA18" s="53" t="n"/>
      <c r="BB18" s="52" t="n"/>
      <c r="BC18" s="53" t="n"/>
      <c r="BD18" s="52" t="n"/>
      <c r="BE18" s="53" t="n"/>
      <c r="BF18" s="54" t="n"/>
      <c r="BG18" s="55" t="n"/>
      <c r="BH18" s="56">
        <f>IF($A18="","",COUNTIF(D18:BG18,"+"))</f>
        <v/>
      </c>
      <c r="BI18" s="57">
        <f>IF($A18="","",COUNTIF(D18:BG18,"x"))</f>
        <v/>
      </c>
      <c r="BJ18" s="57">
        <f>IF($A18="","",COUNTIF(D18:BG18,"-"))</f>
        <v/>
      </c>
      <c r="BK18" s="58">
        <f>IF($A18="","",BH18+BI18*0.5)</f>
        <v/>
      </c>
      <c r="BL18" s="58">
        <f>IF($A18="","",SUM(E18,G18,I18,K18,M18,O18,Q18,S18,U18,W18,Y18,AA18,AC18,AE18,AG18,AI18,AK18,AM18,AO18,AQ18,AS18,AU18,AW18,AY18,BA18,BC18,BE18,BG18))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4" t="n"/>
      <c r="E19" s="55" t="n"/>
      <c r="F19" s="59" t="n"/>
      <c r="G19" s="60" t="n"/>
      <c r="H19" s="59" t="n"/>
      <c r="I19" s="60" t="n"/>
      <c r="J19" s="59" t="n"/>
      <c r="K19" s="60" t="n"/>
      <c r="L19" s="59" t="n"/>
      <c r="M19" s="60" t="n"/>
      <c r="N19" s="59" t="n"/>
      <c r="O19" s="60" t="n"/>
      <c r="P19" s="54" t="n"/>
      <c r="Q19" s="55" t="n"/>
      <c r="R19" s="54" t="n"/>
      <c r="S19" s="55" t="n"/>
      <c r="T19" s="59" t="n"/>
      <c r="U19" s="60" t="n"/>
      <c r="V19" s="59" t="n"/>
      <c r="W19" s="60" t="n"/>
      <c r="X19" s="59" t="n"/>
      <c r="Y19" s="60" t="n"/>
      <c r="Z19" s="59" t="n"/>
      <c r="AA19" s="60" t="n"/>
      <c r="AB19" s="59" t="n"/>
      <c r="AC19" s="60" t="n"/>
      <c r="AD19" s="54" t="n"/>
      <c r="AE19" s="55" t="n"/>
      <c r="AF19" s="54" t="n"/>
      <c r="AG19" s="55" t="n"/>
      <c r="AH19" s="59" t="n"/>
      <c r="AI19" s="60" t="n"/>
      <c r="AJ19" s="59" t="n"/>
      <c r="AK19" s="60" t="n"/>
      <c r="AL19" s="59" t="n"/>
      <c r="AM19" s="60" t="n"/>
      <c r="AN19" s="59" t="n"/>
      <c r="AO19" s="60" t="n"/>
      <c r="AP19" s="59" t="n"/>
      <c r="AQ19" s="60" t="n"/>
      <c r="AR19" s="54" t="n"/>
      <c r="AS19" s="55" t="n"/>
      <c r="AT19" s="54" t="n"/>
      <c r="AU19" s="55" t="n"/>
      <c r="AV19" s="59" t="n"/>
      <c r="AW19" s="60" t="n"/>
      <c r="AX19" s="59" t="n"/>
      <c r="AY19" s="60" t="n"/>
      <c r="AZ19" s="59" t="n"/>
      <c r="BA19" s="60" t="n"/>
      <c r="BB19" s="59" t="n"/>
      <c r="BC19" s="60" t="n"/>
      <c r="BD19" s="59" t="n"/>
      <c r="BE19" s="60" t="n"/>
      <c r="BF19" s="54" t="n"/>
      <c r="BG19" s="55" t="n"/>
      <c r="BH19" s="56">
        <f>IF($A19="","",COUNTIF(D19:BG19,"+"))</f>
        <v/>
      </c>
      <c r="BI19" s="57">
        <f>IF($A19="","",COUNTIF(D19:BG19,"x"))</f>
        <v/>
      </c>
      <c r="BJ19" s="57">
        <f>IF($A19="","",COUNTIF(D19:BG19,"-"))</f>
        <v/>
      </c>
      <c r="BK19" s="58">
        <f>IF($A19="","",BH19+BI19*0.5)</f>
        <v/>
      </c>
      <c r="BL19" s="58">
        <f>IF($A19="","",SUM(E19,G19,I19,K19,M19,O19,Q19,S19,U19,W19,Y19,AA19,AC19,AE19,AG19,AI19,AK19,AM19,AO19,AQ19,AS19,AU19,AW19,AY19,BA19,BC19,BE19,BG19))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4" t="n"/>
      <c r="E20" s="55" t="n"/>
      <c r="F20" s="52" t="n"/>
      <c r="G20" s="53" t="n"/>
      <c r="H20" s="52" t="n"/>
      <c r="I20" s="53" t="n"/>
      <c r="J20" s="52" t="n"/>
      <c r="K20" s="53" t="n"/>
      <c r="L20" s="52" t="n"/>
      <c r="M20" s="53" t="n"/>
      <c r="N20" s="52" t="n"/>
      <c r="O20" s="53" t="n"/>
      <c r="P20" s="54" t="n"/>
      <c r="Q20" s="55" t="n"/>
      <c r="R20" s="54" t="n"/>
      <c r="S20" s="55" t="n"/>
      <c r="T20" s="52" t="n"/>
      <c r="U20" s="53" t="n"/>
      <c r="V20" s="52" t="n"/>
      <c r="W20" s="53" t="n"/>
      <c r="X20" s="52" t="n"/>
      <c r="Y20" s="53" t="n"/>
      <c r="Z20" s="52" t="n"/>
      <c r="AA20" s="53" t="n"/>
      <c r="AB20" s="52" t="n"/>
      <c r="AC20" s="53" t="n"/>
      <c r="AD20" s="54" t="n"/>
      <c r="AE20" s="55" t="n"/>
      <c r="AF20" s="54" t="n"/>
      <c r="AG20" s="55" t="n"/>
      <c r="AH20" s="52" t="n"/>
      <c r="AI20" s="53" t="n"/>
      <c r="AJ20" s="52" t="n"/>
      <c r="AK20" s="53" t="n"/>
      <c r="AL20" s="52" t="n"/>
      <c r="AM20" s="53" t="n"/>
      <c r="AN20" s="52" t="n"/>
      <c r="AO20" s="53" t="n"/>
      <c r="AP20" s="52" t="n"/>
      <c r="AQ20" s="53" t="n"/>
      <c r="AR20" s="54" t="n"/>
      <c r="AS20" s="55" t="n"/>
      <c r="AT20" s="54" t="n"/>
      <c r="AU20" s="55" t="n"/>
      <c r="AV20" s="52" t="n"/>
      <c r="AW20" s="53" t="n"/>
      <c r="AX20" s="52" t="n"/>
      <c r="AY20" s="53" t="n"/>
      <c r="AZ20" s="52" t="n"/>
      <c r="BA20" s="53" t="n"/>
      <c r="BB20" s="52" t="n"/>
      <c r="BC20" s="53" t="n"/>
      <c r="BD20" s="52" t="n"/>
      <c r="BE20" s="53" t="n"/>
      <c r="BF20" s="54" t="n"/>
      <c r="BG20" s="55" t="n"/>
      <c r="BH20" s="56">
        <f>IF($A20="","",COUNTIF(D20:BG20,"+"))</f>
        <v/>
      </c>
      <c r="BI20" s="57">
        <f>IF($A20="","",COUNTIF(D20:BG20,"x"))</f>
        <v/>
      </c>
      <c r="BJ20" s="57">
        <f>IF($A20="","",COUNTIF(D20:BG20,"-"))</f>
        <v/>
      </c>
      <c r="BK20" s="58">
        <f>IF($A20="","",BH20+BI20*0.5)</f>
        <v/>
      </c>
      <c r="BL20" s="58">
        <f>IF($A20="","",SUM(E20,G20,I20,K20,M20,O20,Q20,S20,U20,W20,Y20,AA20,AC20,AE20,AG20,AI20,AK20,AM20,AO20,AQ20,AS20,AU20,AW20,AY20,BA20,BC20,BE20,BG20))</f>
        <v/>
      </c>
    </row>
  </sheetData>
  <mergeCells count="41">
    <mergeCell ref="F4:G4"/>
    <mergeCell ref="P4:Q4"/>
    <mergeCell ref="AX4:AY4"/>
    <mergeCell ref="BH4:BH5"/>
    <mergeCell ref="C4:C5"/>
    <mergeCell ref="H4:I4"/>
    <mergeCell ref="BK4:BK5"/>
    <mergeCell ref="R4:S4"/>
    <mergeCell ref="A2:C2"/>
    <mergeCell ref="AB4:AC4"/>
    <mergeCell ref="T4:U4"/>
    <mergeCell ref="AF4:AG4"/>
    <mergeCell ref="V4:W4"/>
    <mergeCell ref="AH4:AI4"/>
    <mergeCell ref="AN4:AO4"/>
    <mergeCell ref="BL4:BL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A4:A5"/>
    <mergeCell ref="BI4:BI5"/>
    <mergeCell ref="D4:E4"/>
    <mergeCell ref="N2:Q2"/>
    <mergeCell ref="D2:G2"/>
    <mergeCell ref="X4:Y4"/>
    <mergeCell ref="AJ4:AK4"/>
    <mergeCell ref="Z4:AA4"/>
    <mergeCell ref="B4:B5"/>
    <mergeCell ref="AL4:AM4"/>
    <mergeCell ref="A1:BL1"/>
    <mergeCell ref="BJ4:BJ5"/>
    <mergeCell ref="AD4:AE4"/>
    <mergeCell ref="AP4:AQ4"/>
    <mergeCell ref="N4:O4"/>
  </mergeCells>
  <conditionalFormatting sqref="D6:BG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R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4.6" customWidth="1" min="64" max="64"/>
    <col width="5.8" customWidth="1" min="65" max="65"/>
    <col width="9" customWidth="1" min="66" max="66"/>
    <col width="9" customWidth="1" min="67" max="67"/>
    <col width="9" customWidth="1" min="68" max="68"/>
    <col width="11" customWidth="1" min="69" max="69"/>
    <col width="11" customWidth="1" min="70" max="70"/>
  </cols>
  <sheetData>
    <row r="1" ht="32" customHeight="1">
      <c r="A1" s="1" t="inlineStr">
        <is>
          <t>MART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 ht="20" customHeight="1">
      <c r="A2" s="25" t="inlineStr">
        <is>
          <t>Takvim gün sayısı: 31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49" t="inlineStr">
        <is>
          <t>1
Paz</t>
        </is>
      </c>
      <c r="E4" s="49" t="n"/>
      <c r="F4" s="23" t="inlineStr">
        <is>
          <t>2
Pzt</t>
        </is>
      </c>
      <c r="G4" s="23" t="n"/>
      <c r="H4" s="23" t="inlineStr">
        <is>
          <t>3
Sal</t>
        </is>
      </c>
      <c r="I4" s="23" t="n"/>
      <c r="J4" s="23" t="inlineStr">
        <is>
          <t>4
Çar</t>
        </is>
      </c>
      <c r="K4" s="23" t="n"/>
      <c r="L4" s="23" t="inlineStr">
        <is>
          <t>5
Per</t>
        </is>
      </c>
      <c r="M4" s="23" t="n"/>
      <c r="N4" s="23" t="inlineStr">
        <is>
          <t>6
Cum</t>
        </is>
      </c>
      <c r="O4" s="23" t="n"/>
      <c r="P4" s="49" t="inlineStr">
        <is>
          <t>7
Cmt</t>
        </is>
      </c>
      <c r="Q4" s="49" t="n"/>
      <c r="R4" s="49" t="inlineStr">
        <is>
          <t>8
Paz</t>
        </is>
      </c>
      <c r="S4" s="49" t="n"/>
      <c r="T4" s="23" t="inlineStr">
        <is>
          <t>9
Pzt</t>
        </is>
      </c>
      <c r="U4" s="23" t="n"/>
      <c r="V4" s="23" t="inlineStr">
        <is>
          <t>10
Sal</t>
        </is>
      </c>
      <c r="W4" s="23" t="n"/>
      <c r="X4" s="23" t="inlineStr">
        <is>
          <t>11
Çar</t>
        </is>
      </c>
      <c r="Y4" s="23" t="n"/>
      <c r="Z4" s="23" t="inlineStr">
        <is>
          <t>12
Per</t>
        </is>
      </c>
      <c r="AA4" s="23" t="n"/>
      <c r="AB4" s="23" t="inlineStr">
        <is>
          <t>13
Cum</t>
        </is>
      </c>
      <c r="AC4" s="23" t="n"/>
      <c r="AD4" s="49" t="inlineStr">
        <is>
          <t>14
Cmt</t>
        </is>
      </c>
      <c r="AE4" s="49" t="n"/>
      <c r="AF4" s="49" t="inlineStr">
        <is>
          <t>15
Paz</t>
        </is>
      </c>
      <c r="AG4" s="49" t="n"/>
      <c r="AH4" s="23" t="inlineStr">
        <is>
          <t>16
Pzt</t>
        </is>
      </c>
      <c r="AI4" s="23" t="n"/>
      <c r="AJ4" s="23" t="inlineStr">
        <is>
          <t>17
Sal</t>
        </is>
      </c>
      <c r="AK4" s="23" t="n"/>
      <c r="AL4" s="23" t="inlineStr">
        <is>
          <t>18
Çar</t>
        </is>
      </c>
      <c r="AM4" s="23" t="n"/>
      <c r="AN4" s="23" t="inlineStr">
        <is>
          <t>19
Per</t>
        </is>
      </c>
      <c r="AO4" s="23" t="n"/>
      <c r="AP4" s="23" t="inlineStr">
        <is>
          <t>20
Cum</t>
        </is>
      </c>
      <c r="AQ4" s="23" t="n"/>
      <c r="AR4" s="49" t="inlineStr">
        <is>
          <t>21
Cmt</t>
        </is>
      </c>
      <c r="AS4" s="49" t="n"/>
      <c r="AT4" s="49" t="inlineStr">
        <is>
          <t>22
Paz</t>
        </is>
      </c>
      <c r="AU4" s="49" t="n"/>
      <c r="AV4" s="23" t="inlineStr">
        <is>
          <t>23
Pzt</t>
        </is>
      </c>
      <c r="AW4" s="23" t="n"/>
      <c r="AX4" s="23" t="inlineStr">
        <is>
          <t>24
Sal</t>
        </is>
      </c>
      <c r="AY4" s="23" t="n"/>
      <c r="AZ4" s="23" t="inlineStr">
        <is>
          <t>25
Çar</t>
        </is>
      </c>
      <c r="BA4" s="23" t="n"/>
      <c r="BB4" s="23" t="inlineStr">
        <is>
          <t>26
Per</t>
        </is>
      </c>
      <c r="BC4" s="23" t="n"/>
      <c r="BD4" s="23" t="inlineStr">
        <is>
          <t>27
Cum</t>
        </is>
      </c>
      <c r="BE4" s="23" t="n"/>
      <c r="BF4" s="49" t="inlineStr">
        <is>
          <t>28
Cmt</t>
        </is>
      </c>
      <c r="BG4" s="49" t="n"/>
      <c r="BH4" s="49" t="inlineStr">
        <is>
          <t>29
Paz</t>
        </is>
      </c>
      <c r="BI4" s="49" t="n"/>
      <c r="BJ4" s="23" t="inlineStr">
        <is>
          <t>30
Pzt</t>
        </is>
      </c>
      <c r="BK4" s="23" t="n"/>
      <c r="BL4" s="23" t="inlineStr">
        <is>
          <t>31
Sal</t>
        </is>
      </c>
      <c r="BM4" s="23" t="n"/>
      <c r="BN4" s="50" t="inlineStr">
        <is>
          <t>Tam Gün
(+)</t>
        </is>
      </c>
      <c r="BO4" s="10" t="inlineStr">
        <is>
          <t>Yarım Gün
(x)</t>
        </is>
      </c>
      <c r="BP4" s="10" t="inlineStr">
        <is>
          <t>Gelmediği
Gün (-)</t>
        </is>
      </c>
      <c r="BQ4" s="10" t="inlineStr">
        <is>
          <t>Fiili
Çalışılan Gün</t>
        </is>
      </c>
      <c r="BR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1" t="inlineStr">
        <is>
          <t>Drm</t>
        </is>
      </c>
      <c r="BM5" s="51" t="inlineStr">
        <is>
          <t>Mesai</t>
        </is>
      </c>
      <c r="BN5" s="50" t="n"/>
      <c r="BO5" s="10" t="n"/>
      <c r="BP5" s="10" t="n"/>
      <c r="BQ5" s="10" t="n"/>
      <c r="BR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4" t="n"/>
      <c r="E6" s="55" t="n"/>
      <c r="F6" s="52" t="n"/>
      <c r="G6" s="53" t="n"/>
      <c r="H6" s="52" t="n"/>
      <c r="I6" s="53" t="n"/>
      <c r="J6" s="52" t="n"/>
      <c r="K6" s="53" t="n"/>
      <c r="L6" s="52" t="n"/>
      <c r="M6" s="53" t="n"/>
      <c r="N6" s="52" t="n"/>
      <c r="O6" s="53" t="n"/>
      <c r="P6" s="54" t="n"/>
      <c r="Q6" s="55" t="n"/>
      <c r="R6" s="54" t="n"/>
      <c r="S6" s="55" t="n"/>
      <c r="T6" s="52" t="n"/>
      <c r="U6" s="53" t="n"/>
      <c r="V6" s="52" t="n"/>
      <c r="W6" s="53" t="n"/>
      <c r="X6" s="52" t="n"/>
      <c r="Y6" s="53" t="n"/>
      <c r="Z6" s="52" t="n"/>
      <c r="AA6" s="53" t="n"/>
      <c r="AB6" s="52" t="n"/>
      <c r="AC6" s="53" t="n"/>
      <c r="AD6" s="54" t="n"/>
      <c r="AE6" s="55" t="n"/>
      <c r="AF6" s="54" t="n"/>
      <c r="AG6" s="55" t="n"/>
      <c r="AH6" s="52" t="n"/>
      <c r="AI6" s="53" t="n"/>
      <c r="AJ6" s="52" t="n"/>
      <c r="AK6" s="53" t="n"/>
      <c r="AL6" s="52" t="n"/>
      <c r="AM6" s="53" t="n"/>
      <c r="AN6" s="52" t="n"/>
      <c r="AO6" s="53" t="n"/>
      <c r="AP6" s="52" t="n"/>
      <c r="AQ6" s="53" t="n"/>
      <c r="AR6" s="54" t="n"/>
      <c r="AS6" s="55" t="n"/>
      <c r="AT6" s="54" t="n"/>
      <c r="AU6" s="55" t="n"/>
      <c r="AV6" s="52" t="n"/>
      <c r="AW6" s="53" t="n"/>
      <c r="AX6" s="52" t="n"/>
      <c r="AY6" s="53" t="n"/>
      <c r="AZ6" s="52" t="n"/>
      <c r="BA6" s="53" t="n"/>
      <c r="BB6" s="52" t="n"/>
      <c r="BC6" s="53" t="n"/>
      <c r="BD6" s="52" t="n"/>
      <c r="BE6" s="53" t="n"/>
      <c r="BF6" s="54" t="n"/>
      <c r="BG6" s="55" t="n"/>
      <c r="BH6" s="54" t="n"/>
      <c r="BI6" s="55" t="n"/>
      <c r="BJ6" s="52" t="n"/>
      <c r="BK6" s="53" t="n"/>
      <c r="BL6" s="52" t="n"/>
      <c r="BM6" s="53" t="n"/>
      <c r="BN6" s="56">
        <f>IF($A6="","",COUNTIF(D6:BM6,"+"))</f>
        <v/>
      </c>
      <c r="BO6" s="57">
        <f>IF($A6="","",COUNTIF(D6:BM6,"x"))</f>
        <v/>
      </c>
      <c r="BP6" s="57">
        <f>IF($A6="","",COUNTIF(D6:BM6,"-"))</f>
        <v/>
      </c>
      <c r="BQ6" s="58">
        <f>IF($A6="","",BN6+BO6*0.5)</f>
        <v/>
      </c>
      <c r="BR6" s="58">
        <f>IF($A6="","",SUM(E6,G6,I6,K6,M6,O6,Q6,S6,U6,W6,Y6,AA6,AC6,AE6,AG6,AI6,AK6,AM6,AO6,AQ6,AS6,AU6,AW6,AY6,BA6,BC6,BE6,BG6,BI6,BK6,BM6))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4" t="n"/>
      <c r="E7" s="55" t="n"/>
      <c r="F7" s="59" t="n"/>
      <c r="G7" s="60" t="n"/>
      <c r="H7" s="59" t="n"/>
      <c r="I7" s="60" t="n"/>
      <c r="J7" s="59" t="n"/>
      <c r="K7" s="60" t="n"/>
      <c r="L7" s="59" t="n"/>
      <c r="M7" s="60" t="n"/>
      <c r="N7" s="59" t="n"/>
      <c r="O7" s="60" t="n"/>
      <c r="P7" s="54" t="n"/>
      <c r="Q7" s="55" t="n"/>
      <c r="R7" s="54" t="n"/>
      <c r="S7" s="55" t="n"/>
      <c r="T7" s="59" t="n"/>
      <c r="U7" s="60" t="n"/>
      <c r="V7" s="59" t="n"/>
      <c r="W7" s="60" t="n"/>
      <c r="X7" s="59" t="n"/>
      <c r="Y7" s="60" t="n"/>
      <c r="Z7" s="59" t="n"/>
      <c r="AA7" s="60" t="n"/>
      <c r="AB7" s="59" t="n"/>
      <c r="AC7" s="60" t="n"/>
      <c r="AD7" s="54" t="n"/>
      <c r="AE7" s="55" t="n"/>
      <c r="AF7" s="54" t="n"/>
      <c r="AG7" s="55" t="n"/>
      <c r="AH7" s="59" t="n"/>
      <c r="AI7" s="60" t="n"/>
      <c r="AJ7" s="59" t="n"/>
      <c r="AK7" s="60" t="n"/>
      <c r="AL7" s="59" t="n"/>
      <c r="AM7" s="60" t="n"/>
      <c r="AN7" s="59" t="n"/>
      <c r="AO7" s="60" t="n"/>
      <c r="AP7" s="59" t="n"/>
      <c r="AQ7" s="60" t="n"/>
      <c r="AR7" s="54" t="n"/>
      <c r="AS7" s="55" t="n"/>
      <c r="AT7" s="54" t="n"/>
      <c r="AU7" s="55" t="n"/>
      <c r="AV7" s="59" t="n"/>
      <c r="AW7" s="60" t="n"/>
      <c r="AX7" s="59" t="n"/>
      <c r="AY7" s="60" t="n"/>
      <c r="AZ7" s="59" t="n"/>
      <c r="BA7" s="60" t="n"/>
      <c r="BB7" s="59" t="n"/>
      <c r="BC7" s="60" t="n"/>
      <c r="BD7" s="59" t="n"/>
      <c r="BE7" s="60" t="n"/>
      <c r="BF7" s="54" t="n"/>
      <c r="BG7" s="55" t="n"/>
      <c r="BH7" s="54" t="n"/>
      <c r="BI7" s="55" t="n"/>
      <c r="BJ7" s="59" t="n"/>
      <c r="BK7" s="60" t="n"/>
      <c r="BL7" s="59" t="n"/>
      <c r="BM7" s="60" t="n"/>
      <c r="BN7" s="56">
        <f>IF($A7="","",COUNTIF(D7:BM7,"+"))</f>
        <v/>
      </c>
      <c r="BO7" s="57">
        <f>IF($A7="","",COUNTIF(D7:BM7,"x"))</f>
        <v/>
      </c>
      <c r="BP7" s="57">
        <f>IF($A7="","",COUNTIF(D7:BM7,"-"))</f>
        <v/>
      </c>
      <c r="BQ7" s="58">
        <f>IF($A7="","",BN7+BO7*0.5)</f>
        <v/>
      </c>
      <c r="BR7" s="58">
        <f>IF($A7="","",SUM(E7,G7,I7,K7,M7,O7,Q7,S7,U7,W7,Y7,AA7,AC7,AE7,AG7,AI7,AK7,AM7,AO7,AQ7,AS7,AU7,AW7,AY7,BA7,BC7,BE7,BG7,BI7,BK7,BM7))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4" t="n"/>
      <c r="E8" s="55" t="n"/>
      <c r="F8" s="52" t="n"/>
      <c r="G8" s="53" t="n"/>
      <c r="H8" s="52" t="n"/>
      <c r="I8" s="53" t="n"/>
      <c r="J8" s="52" t="n"/>
      <c r="K8" s="53" t="n"/>
      <c r="L8" s="52" t="n"/>
      <c r="M8" s="53" t="n"/>
      <c r="N8" s="52" t="n"/>
      <c r="O8" s="53" t="n"/>
      <c r="P8" s="54" t="n"/>
      <c r="Q8" s="55" t="n"/>
      <c r="R8" s="54" t="n"/>
      <c r="S8" s="55" t="n"/>
      <c r="T8" s="52" t="n"/>
      <c r="U8" s="53" t="n"/>
      <c r="V8" s="52" t="n"/>
      <c r="W8" s="53" t="n"/>
      <c r="X8" s="52" t="n"/>
      <c r="Y8" s="53" t="n"/>
      <c r="Z8" s="52" t="n"/>
      <c r="AA8" s="53" t="n"/>
      <c r="AB8" s="52" t="n"/>
      <c r="AC8" s="53" t="n"/>
      <c r="AD8" s="54" t="n"/>
      <c r="AE8" s="55" t="n"/>
      <c r="AF8" s="54" t="n"/>
      <c r="AG8" s="55" t="n"/>
      <c r="AH8" s="52" t="n"/>
      <c r="AI8" s="53" t="n"/>
      <c r="AJ8" s="52" t="n"/>
      <c r="AK8" s="53" t="n"/>
      <c r="AL8" s="52" t="n"/>
      <c r="AM8" s="53" t="n"/>
      <c r="AN8" s="52" t="n"/>
      <c r="AO8" s="53" t="n"/>
      <c r="AP8" s="52" t="n"/>
      <c r="AQ8" s="53" t="n"/>
      <c r="AR8" s="54" t="n"/>
      <c r="AS8" s="55" t="n"/>
      <c r="AT8" s="54" t="n"/>
      <c r="AU8" s="55" t="n"/>
      <c r="AV8" s="52" t="n"/>
      <c r="AW8" s="53" t="n"/>
      <c r="AX8" s="52" t="n"/>
      <c r="AY8" s="53" t="n"/>
      <c r="AZ8" s="52" t="n"/>
      <c r="BA8" s="53" t="n"/>
      <c r="BB8" s="52" t="n"/>
      <c r="BC8" s="53" t="n"/>
      <c r="BD8" s="52" t="n"/>
      <c r="BE8" s="53" t="n"/>
      <c r="BF8" s="54" t="n"/>
      <c r="BG8" s="55" t="n"/>
      <c r="BH8" s="54" t="n"/>
      <c r="BI8" s="55" t="n"/>
      <c r="BJ8" s="52" t="n"/>
      <c r="BK8" s="53" t="n"/>
      <c r="BL8" s="52" t="n"/>
      <c r="BM8" s="53" t="n"/>
      <c r="BN8" s="56">
        <f>IF($A8="","",COUNTIF(D8:BM8,"+"))</f>
        <v/>
      </c>
      <c r="BO8" s="57">
        <f>IF($A8="","",COUNTIF(D8:BM8,"x"))</f>
        <v/>
      </c>
      <c r="BP8" s="57">
        <f>IF($A8="","",COUNTIF(D8:BM8,"-"))</f>
        <v/>
      </c>
      <c r="BQ8" s="58">
        <f>IF($A8="","",BN8+BO8*0.5)</f>
        <v/>
      </c>
      <c r="BR8" s="58">
        <f>IF($A8="","",SUM(E8,G8,I8,K8,M8,O8,Q8,S8,U8,W8,Y8,AA8,AC8,AE8,AG8,AI8,AK8,AM8,AO8,AQ8,AS8,AU8,AW8,AY8,BA8,BC8,BE8,BG8,BI8,BK8,BM8))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4" t="n"/>
      <c r="E9" s="55" t="n"/>
      <c r="F9" s="59" t="n"/>
      <c r="G9" s="60" t="n"/>
      <c r="H9" s="59" t="n"/>
      <c r="I9" s="60" t="n"/>
      <c r="J9" s="59" t="n"/>
      <c r="K9" s="60" t="n"/>
      <c r="L9" s="59" t="n"/>
      <c r="M9" s="60" t="n"/>
      <c r="N9" s="59" t="n"/>
      <c r="O9" s="60" t="n"/>
      <c r="P9" s="54" t="n"/>
      <c r="Q9" s="55" t="n"/>
      <c r="R9" s="54" t="n"/>
      <c r="S9" s="55" t="n"/>
      <c r="T9" s="59" t="n"/>
      <c r="U9" s="60" t="n"/>
      <c r="V9" s="59" t="n"/>
      <c r="W9" s="60" t="n"/>
      <c r="X9" s="59" t="n"/>
      <c r="Y9" s="60" t="n"/>
      <c r="Z9" s="59" t="n"/>
      <c r="AA9" s="60" t="n"/>
      <c r="AB9" s="59" t="n"/>
      <c r="AC9" s="60" t="n"/>
      <c r="AD9" s="54" t="n"/>
      <c r="AE9" s="55" t="n"/>
      <c r="AF9" s="54" t="n"/>
      <c r="AG9" s="55" t="n"/>
      <c r="AH9" s="59" t="n"/>
      <c r="AI9" s="60" t="n"/>
      <c r="AJ9" s="59" t="n"/>
      <c r="AK9" s="60" t="n"/>
      <c r="AL9" s="59" t="n"/>
      <c r="AM9" s="60" t="n"/>
      <c r="AN9" s="59" t="n"/>
      <c r="AO9" s="60" t="n"/>
      <c r="AP9" s="59" t="n"/>
      <c r="AQ9" s="60" t="n"/>
      <c r="AR9" s="54" t="n"/>
      <c r="AS9" s="55" t="n"/>
      <c r="AT9" s="54" t="n"/>
      <c r="AU9" s="55" t="n"/>
      <c r="AV9" s="59" t="n"/>
      <c r="AW9" s="60" t="n"/>
      <c r="AX9" s="59" t="n"/>
      <c r="AY9" s="60" t="n"/>
      <c r="AZ9" s="59" t="n"/>
      <c r="BA9" s="60" t="n"/>
      <c r="BB9" s="59" t="n"/>
      <c r="BC9" s="60" t="n"/>
      <c r="BD9" s="59" t="n"/>
      <c r="BE9" s="60" t="n"/>
      <c r="BF9" s="54" t="n"/>
      <c r="BG9" s="55" t="n"/>
      <c r="BH9" s="54" t="n"/>
      <c r="BI9" s="55" t="n"/>
      <c r="BJ9" s="59" t="n"/>
      <c r="BK9" s="60" t="n"/>
      <c r="BL9" s="59" t="n"/>
      <c r="BM9" s="60" t="n"/>
      <c r="BN9" s="56">
        <f>IF($A9="","",COUNTIF(D9:BM9,"+"))</f>
        <v/>
      </c>
      <c r="BO9" s="57">
        <f>IF($A9="","",COUNTIF(D9:BM9,"x"))</f>
        <v/>
      </c>
      <c r="BP9" s="57">
        <f>IF($A9="","",COUNTIF(D9:BM9,"-"))</f>
        <v/>
      </c>
      <c r="BQ9" s="58">
        <f>IF($A9="","",BN9+BO9*0.5)</f>
        <v/>
      </c>
      <c r="BR9" s="58">
        <f>IF($A9="","",SUM(E9,G9,I9,K9,M9,O9,Q9,S9,U9,W9,Y9,AA9,AC9,AE9,AG9,AI9,AK9,AM9,AO9,AQ9,AS9,AU9,AW9,AY9,BA9,BC9,BE9,BG9,BI9,BK9,BM9))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4" t="n"/>
      <c r="E10" s="55" t="n"/>
      <c r="F10" s="52" t="n"/>
      <c r="G10" s="53" t="n"/>
      <c r="H10" s="52" t="n"/>
      <c r="I10" s="53" t="n"/>
      <c r="J10" s="52" t="n"/>
      <c r="K10" s="53" t="n"/>
      <c r="L10" s="52" t="n"/>
      <c r="M10" s="53" t="n"/>
      <c r="N10" s="52" t="n"/>
      <c r="O10" s="53" t="n"/>
      <c r="P10" s="54" t="n"/>
      <c r="Q10" s="55" t="n"/>
      <c r="R10" s="54" t="n"/>
      <c r="S10" s="55" t="n"/>
      <c r="T10" s="52" t="n"/>
      <c r="U10" s="53" t="n"/>
      <c r="V10" s="52" t="n"/>
      <c r="W10" s="53" t="n"/>
      <c r="X10" s="52" t="n"/>
      <c r="Y10" s="53" t="n"/>
      <c r="Z10" s="52" t="n"/>
      <c r="AA10" s="53" t="n"/>
      <c r="AB10" s="52" t="n"/>
      <c r="AC10" s="53" t="n"/>
      <c r="AD10" s="54" t="n"/>
      <c r="AE10" s="55" t="n"/>
      <c r="AF10" s="54" t="n"/>
      <c r="AG10" s="55" t="n"/>
      <c r="AH10" s="52" t="n"/>
      <c r="AI10" s="53" t="n"/>
      <c r="AJ10" s="52" t="n"/>
      <c r="AK10" s="53" t="n"/>
      <c r="AL10" s="52" t="n"/>
      <c r="AM10" s="53" t="n"/>
      <c r="AN10" s="52" t="n"/>
      <c r="AO10" s="53" t="n"/>
      <c r="AP10" s="52" t="n"/>
      <c r="AQ10" s="53" t="n"/>
      <c r="AR10" s="54" t="n"/>
      <c r="AS10" s="55" t="n"/>
      <c r="AT10" s="54" t="n"/>
      <c r="AU10" s="55" t="n"/>
      <c r="AV10" s="52" t="n"/>
      <c r="AW10" s="53" t="n"/>
      <c r="AX10" s="52" t="n"/>
      <c r="AY10" s="53" t="n"/>
      <c r="AZ10" s="52" t="n"/>
      <c r="BA10" s="53" t="n"/>
      <c r="BB10" s="52" t="n"/>
      <c r="BC10" s="53" t="n"/>
      <c r="BD10" s="52" t="n"/>
      <c r="BE10" s="53" t="n"/>
      <c r="BF10" s="54" t="n"/>
      <c r="BG10" s="55" t="n"/>
      <c r="BH10" s="54" t="n"/>
      <c r="BI10" s="55" t="n"/>
      <c r="BJ10" s="52" t="n"/>
      <c r="BK10" s="53" t="n"/>
      <c r="BL10" s="52" t="n"/>
      <c r="BM10" s="53" t="n"/>
      <c r="BN10" s="56">
        <f>IF($A10="","",COUNTIF(D10:BM10,"+"))</f>
        <v/>
      </c>
      <c r="BO10" s="57">
        <f>IF($A10="","",COUNTIF(D10:BM10,"x"))</f>
        <v/>
      </c>
      <c r="BP10" s="57">
        <f>IF($A10="","",COUNTIF(D10:BM10,"-"))</f>
        <v/>
      </c>
      <c r="BQ10" s="58">
        <f>IF($A10="","",BN10+BO10*0.5)</f>
        <v/>
      </c>
      <c r="BR10" s="58">
        <f>IF($A10="","",SUM(E10,G10,I10,K10,M10,O10,Q10,S10,U10,W10,Y10,AA10,AC10,AE10,AG10,AI10,AK10,AM10,AO10,AQ10,AS10,AU10,AW10,AY10,BA10,BC10,BE10,BG10,BI10,BK10,BM10))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4" t="n"/>
      <c r="E11" s="55" t="n"/>
      <c r="F11" s="59" t="n"/>
      <c r="G11" s="60" t="n"/>
      <c r="H11" s="59" t="n"/>
      <c r="I11" s="60" t="n"/>
      <c r="J11" s="59" t="n"/>
      <c r="K11" s="60" t="n"/>
      <c r="L11" s="59" t="n"/>
      <c r="M11" s="60" t="n"/>
      <c r="N11" s="59" t="n"/>
      <c r="O11" s="60" t="n"/>
      <c r="P11" s="54" t="n"/>
      <c r="Q11" s="55" t="n"/>
      <c r="R11" s="54" t="n"/>
      <c r="S11" s="55" t="n"/>
      <c r="T11" s="59" t="n"/>
      <c r="U11" s="60" t="n"/>
      <c r="V11" s="59" t="n"/>
      <c r="W11" s="60" t="n"/>
      <c r="X11" s="59" t="n"/>
      <c r="Y11" s="60" t="n"/>
      <c r="Z11" s="59" t="n"/>
      <c r="AA11" s="60" t="n"/>
      <c r="AB11" s="59" t="n"/>
      <c r="AC11" s="60" t="n"/>
      <c r="AD11" s="54" t="n"/>
      <c r="AE11" s="55" t="n"/>
      <c r="AF11" s="54" t="n"/>
      <c r="AG11" s="55" t="n"/>
      <c r="AH11" s="59" t="n"/>
      <c r="AI11" s="60" t="n"/>
      <c r="AJ11" s="59" t="n"/>
      <c r="AK11" s="60" t="n"/>
      <c r="AL11" s="59" t="n"/>
      <c r="AM11" s="60" t="n"/>
      <c r="AN11" s="59" t="n"/>
      <c r="AO11" s="60" t="n"/>
      <c r="AP11" s="59" t="n"/>
      <c r="AQ11" s="60" t="n"/>
      <c r="AR11" s="54" t="n"/>
      <c r="AS11" s="55" t="n"/>
      <c r="AT11" s="54" t="n"/>
      <c r="AU11" s="55" t="n"/>
      <c r="AV11" s="59" t="n"/>
      <c r="AW11" s="60" t="n"/>
      <c r="AX11" s="59" t="n"/>
      <c r="AY11" s="60" t="n"/>
      <c r="AZ11" s="59" t="n"/>
      <c r="BA11" s="60" t="n"/>
      <c r="BB11" s="59" t="n"/>
      <c r="BC11" s="60" t="n"/>
      <c r="BD11" s="59" t="n"/>
      <c r="BE11" s="60" t="n"/>
      <c r="BF11" s="54" t="n"/>
      <c r="BG11" s="55" t="n"/>
      <c r="BH11" s="54" t="n"/>
      <c r="BI11" s="55" t="n"/>
      <c r="BJ11" s="59" t="n"/>
      <c r="BK11" s="60" t="n"/>
      <c r="BL11" s="59" t="n"/>
      <c r="BM11" s="60" t="n"/>
      <c r="BN11" s="56">
        <f>IF($A11="","",COUNTIF(D11:BM11,"+"))</f>
        <v/>
      </c>
      <c r="BO11" s="57">
        <f>IF($A11="","",COUNTIF(D11:BM11,"x"))</f>
        <v/>
      </c>
      <c r="BP11" s="57">
        <f>IF($A11="","",COUNTIF(D11:BM11,"-"))</f>
        <v/>
      </c>
      <c r="BQ11" s="58">
        <f>IF($A11="","",BN11+BO11*0.5)</f>
        <v/>
      </c>
      <c r="BR11" s="58">
        <f>IF($A11="","",SUM(E11,G11,I11,K11,M11,O11,Q11,S11,U11,W11,Y11,AA11,AC11,AE11,AG11,AI11,AK11,AM11,AO11,AQ11,AS11,AU11,AW11,AY11,BA11,BC11,BE11,BG11,BI11,BK11,BM11))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4" t="n"/>
      <c r="E12" s="55" t="n"/>
      <c r="F12" s="52" t="n"/>
      <c r="G12" s="53" t="n"/>
      <c r="H12" s="52" t="n"/>
      <c r="I12" s="53" t="n"/>
      <c r="J12" s="52" t="n"/>
      <c r="K12" s="53" t="n"/>
      <c r="L12" s="52" t="n"/>
      <c r="M12" s="53" t="n"/>
      <c r="N12" s="52" t="n"/>
      <c r="O12" s="53" t="n"/>
      <c r="P12" s="54" t="n"/>
      <c r="Q12" s="55" t="n"/>
      <c r="R12" s="54" t="n"/>
      <c r="S12" s="55" t="n"/>
      <c r="T12" s="52" t="n"/>
      <c r="U12" s="53" t="n"/>
      <c r="V12" s="52" t="n"/>
      <c r="W12" s="53" t="n"/>
      <c r="X12" s="52" t="n"/>
      <c r="Y12" s="53" t="n"/>
      <c r="Z12" s="52" t="n"/>
      <c r="AA12" s="53" t="n"/>
      <c r="AB12" s="52" t="n"/>
      <c r="AC12" s="53" t="n"/>
      <c r="AD12" s="54" t="n"/>
      <c r="AE12" s="55" t="n"/>
      <c r="AF12" s="54" t="n"/>
      <c r="AG12" s="55" t="n"/>
      <c r="AH12" s="52" t="n"/>
      <c r="AI12" s="53" t="n"/>
      <c r="AJ12" s="52" t="n"/>
      <c r="AK12" s="53" t="n"/>
      <c r="AL12" s="52" t="n"/>
      <c r="AM12" s="53" t="n"/>
      <c r="AN12" s="52" t="n"/>
      <c r="AO12" s="53" t="n"/>
      <c r="AP12" s="52" t="n"/>
      <c r="AQ12" s="53" t="n"/>
      <c r="AR12" s="54" t="n"/>
      <c r="AS12" s="55" t="n"/>
      <c r="AT12" s="54" t="n"/>
      <c r="AU12" s="55" t="n"/>
      <c r="AV12" s="52" t="n"/>
      <c r="AW12" s="53" t="n"/>
      <c r="AX12" s="52" t="n"/>
      <c r="AY12" s="53" t="n"/>
      <c r="AZ12" s="52" t="n"/>
      <c r="BA12" s="53" t="n"/>
      <c r="BB12" s="52" t="n"/>
      <c r="BC12" s="53" t="n"/>
      <c r="BD12" s="52" t="n"/>
      <c r="BE12" s="53" t="n"/>
      <c r="BF12" s="54" t="n"/>
      <c r="BG12" s="55" t="n"/>
      <c r="BH12" s="54" t="n"/>
      <c r="BI12" s="55" t="n"/>
      <c r="BJ12" s="52" t="n"/>
      <c r="BK12" s="53" t="n"/>
      <c r="BL12" s="52" t="n"/>
      <c r="BM12" s="53" t="n"/>
      <c r="BN12" s="56">
        <f>IF($A12="","",COUNTIF(D12:BM12,"+"))</f>
        <v/>
      </c>
      <c r="BO12" s="57">
        <f>IF($A12="","",COUNTIF(D12:BM12,"x"))</f>
        <v/>
      </c>
      <c r="BP12" s="57">
        <f>IF($A12="","",COUNTIF(D12:BM12,"-"))</f>
        <v/>
      </c>
      <c r="BQ12" s="58">
        <f>IF($A12="","",BN12+BO12*0.5)</f>
        <v/>
      </c>
      <c r="BR12" s="58">
        <f>IF($A12="","",SUM(E12,G12,I12,K12,M12,O12,Q12,S12,U12,W12,Y12,AA12,AC12,AE12,AG12,AI12,AK12,AM12,AO12,AQ12,AS12,AU12,AW12,AY12,BA12,BC12,BE12,BG12,BI12,BK12,BM12))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4" t="n"/>
      <c r="E13" s="55" t="n"/>
      <c r="F13" s="59" t="n"/>
      <c r="G13" s="60" t="n"/>
      <c r="H13" s="59" t="n"/>
      <c r="I13" s="60" t="n"/>
      <c r="J13" s="59" t="n"/>
      <c r="K13" s="60" t="n"/>
      <c r="L13" s="59" t="n"/>
      <c r="M13" s="60" t="n"/>
      <c r="N13" s="59" t="n"/>
      <c r="O13" s="60" t="n"/>
      <c r="P13" s="54" t="n"/>
      <c r="Q13" s="55" t="n"/>
      <c r="R13" s="54" t="n"/>
      <c r="S13" s="55" t="n"/>
      <c r="T13" s="59" t="n"/>
      <c r="U13" s="60" t="n"/>
      <c r="V13" s="59" t="n"/>
      <c r="W13" s="60" t="n"/>
      <c r="X13" s="59" t="n"/>
      <c r="Y13" s="60" t="n"/>
      <c r="Z13" s="59" t="n"/>
      <c r="AA13" s="60" t="n"/>
      <c r="AB13" s="59" t="n"/>
      <c r="AC13" s="60" t="n"/>
      <c r="AD13" s="54" t="n"/>
      <c r="AE13" s="55" t="n"/>
      <c r="AF13" s="54" t="n"/>
      <c r="AG13" s="55" t="n"/>
      <c r="AH13" s="59" t="n"/>
      <c r="AI13" s="60" t="n"/>
      <c r="AJ13" s="59" t="n"/>
      <c r="AK13" s="60" t="n"/>
      <c r="AL13" s="59" t="n"/>
      <c r="AM13" s="60" t="n"/>
      <c r="AN13" s="59" t="n"/>
      <c r="AO13" s="60" t="n"/>
      <c r="AP13" s="59" t="n"/>
      <c r="AQ13" s="60" t="n"/>
      <c r="AR13" s="54" t="n"/>
      <c r="AS13" s="55" t="n"/>
      <c r="AT13" s="54" t="n"/>
      <c r="AU13" s="55" t="n"/>
      <c r="AV13" s="59" t="n"/>
      <c r="AW13" s="60" t="n"/>
      <c r="AX13" s="59" t="n"/>
      <c r="AY13" s="60" t="n"/>
      <c r="AZ13" s="59" t="n"/>
      <c r="BA13" s="60" t="n"/>
      <c r="BB13" s="59" t="n"/>
      <c r="BC13" s="60" t="n"/>
      <c r="BD13" s="59" t="n"/>
      <c r="BE13" s="60" t="n"/>
      <c r="BF13" s="54" t="n"/>
      <c r="BG13" s="55" t="n"/>
      <c r="BH13" s="54" t="n"/>
      <c r="BI13" s="55" t="n"/>
      <c r="BJ13" s="59" t="n"/>
      <c r="BK13" s="60" t="n"/>
      <c r="BL13" s="59" t="n"/>
      <c r="BM13" s="60" t="n"/>
      <c r="BN13" s="56">
        <f>IF($A13="","",COUNTIF(D13:BM13,"+"))</f>
        <v/>
      </c>
      <c r="BO13" s="57">
        <f>IF($A13="","",COUNTIF(D13:BM13,"x"))</f>
        <v/>
      </c>
      <c r="BP13" s="57">
        <f>IF($A13="","",COUNTIF(D13:BM13,"-"))</f>
        <v/>
      </c>
      <c r="BQ13" s="58">
        <f>IF($A13="","",BN13+BO13*0.5)</f>
        <v/>
      </c>
      <c r="BR13" s="58">
        <f>IF($A13="","",SUM(E13,G13,I13,K13,M13,O13,Q13,S13,U13,W13,Y13,AA13,AC13,AE13,AG13,AI13,AK13,AM13,AO13,AQ13,AS13,AU13,AW13,AY13,BA13,BC13,BE13,BG13,BI13,BK13,BM13))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4" t="n"/>
      <c r="E14" s="55" t="n"/>
      <c r="F14" s="52" t="n"/>
      <c r="G14" s="53" t="n"/>
      <c r="H14" s="52" t="n"/>
      <c r="I14" s="53" t="n"/>
      <c r="J14" s="52" t="n"/>
      <c r="K14" s="53" t="n"/>
      <c r="L14" s="52" t="n"/>
      <c r="M14" s="53" t="n"/>
      <c r="N14" s="52" t="n"/>
      <c r="O14" s="53" t="n"/>
      <c r="P14" s="54" t="n"/>
      <c r="Q14" s="55" t="n"/>
      <c r="R14" s="54" t="n"/>
      <c r="S14" s="55" t="n"/>
      <c r="T14" s="52" t="n"/>
      <c r="U14" s="53" t="n"/>
      <c r="V14" s="52" t="n"/>
      <c r="W14" s="53" t="n"/>
      <c r="X14" s="52" t="n"/>
      <c r="Y14" s="53" t="n"/>
      <c r="Z14" s="52" t="n"/>
      <c r="AA14" s="53" t="n"/>
      <c r="AB14" s="52" t="n"/>
      <c r="AC14" s="53" t="n"/>
      <c r="AD14" s="54" t="n"/>
      <c r="AE14" s="55" t="n"/>
      <c r="AF14" s="54" t="n"/>
      <c r="AG14" s="55" t="n"/>
      <c r="AH14" s="52" t="n"/>
      <c r="AI14" s="53" t="n"/>
      <c r="AJ14" s="52" t="n"/>
      <c r="AK14" s="53" t="n"/>
      <c r="AL14" s="52" t="n"/>
      <c r="AM14" s="53" t="n"/>
      <c r="AN14" s="52" t="n"/>
      <c r="AO14" s="53" t="n"/>
      <c r="AP14" s="52" t="n"/>
      <c r="AQ14" s="53" t="n"/>
      <c r="AR14" s="54" t="n"/>
      <c r="AS14" s="55" t="n"/>
      <c r="AT14" s="54" t="n"/>
      <c r="AU14" s="55" t="n"/>
      <c r="AV14" s="52" t="n"/>
      <c r="AW14" s="53" t="n"/>
      <c r="AX14" s="52" t="n"/>
      <c r="AY14" s="53" t="n"/>
      <c r="AZ14" s="52" t="n"/>
      <c r="BA14" s="53" t="n"/>
      <c r="BB14" s="52" t="n"/>
      <c r="BC14" s="53" t="n"/>
      <c r="BD14" s="52" t="n"/>
      <c r="BE14" s="53" t="n"/>
      <c r="BF14" s="54" t="n"/>
      <c r="BG14" s="55" t="n"/>
      <c r="BH14" s="54" t="n"/>
      <c r="BI14" s="55" t="n"/>
      <c r="BJ14" s="52" t="n"/>
      <c r="BK14" s="53" t="n"/>
      <c r="BL14" s="52" t="n"/>
      <c r="BM14" s="53" t="n"/>
      <c r="BN14" s="56">
        <f>IF($A14="","",COUNTIF(D14:BM14,"+"))</f>
        <v/>
      </c>
      <c r="BO14" s="57">
        <f>IF($A14="","",COUNTIF(D14:BM14,"x"))</f>
        <v/>
      </c>
      <c r="BP14" s="57">
        <f>IF($A14="","",COUNTIF(D14:BM14,"-"))</f>
        <v/>
      </c>
      <c r="BQ14" s="58">
        <f>IF($A14="","",BN14+BO14*0.5)</f>
        <v/>
      </c>
      <c r="BR14" s="58">
        <f>IF($A14="","",SUM(E14,G14,I14,K14,M14,O14,Q14,S14,U14,W14,Y14,AA14,AC14,AE14,AG14,AI14,AK14,AM14,AO14,AQ14,AS14,AU14,AW14,AY14,BA14,BC14,BE14,BG14,BI14,BK14,BM14))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4" t="n"/>
      <c r="E15" s="55" t="n"/>
      <c r="F15" s="59" t="n"/>
      <c r="G15" s="60" t="n"/>
      <c r="H15" s="59" t="n"/>
      <c r="I15" s="60" t="n"/>
      <c r="J15" s="59" t="n"/>
      <c r="K15" s="60" t="n"/>
      <c r="L15" s="59" t="n"/>
      <c r="M15" s="60" t="n"/>
      <c r="N15" s="59" t="n"/>
      <c r="O15" s="60" t="n"/>
      <c r="P15" s="54" t="n"/>
      <c r="Q15" s="55" t="n"/>
      <c r="R15" s="54" t="n"/>
      <c r="S15" s="55" t="n"/>
      <c r="T15" s="59" t="n"/>
      <c r="U15" s="60" t="n"/>
      <c r="V15" s="59" t="n"/>
      <c r="W15" s="60" t="n"/>
      <c r="X15" s="59" t="n"/>
      <c r="Y15" s="60" t="n"/>
      <c r="Z15" s="59" t="n"/>
      <c r="AA15" s="60" t="n"/>
      <c r="AB15" s="59" t="n"/>
      <c r="AC15" s="60" t="n"/>
      <c r="AD15" s="54" t="n"/>
      <c r="AE15" s="55" t="n"/>
      <c r="AF15" s="54" t="n"/>
      <c r="AG15" s="55" t="n"/>
      <c r="AH15" s="59" t="n"/>
      <c r="AI15" s="60" t="n"/>
      <c r="AJ15" s="59" t="n"/>
      <c r="AK15" s="60" t="n"/>
      <c r="AL15" s="59" t="n"/>
      <c r="AM15" s="60" t="n"/>
      <c r="AN15" s="59" t="n"/>
      <c r="AO15" s="60" t="n"/>
      <c r="AP15" s="59" t="n"/>
      <c r="AQ15" s="60" t="n"/>
      <c r="AR15" s="54" t="n"/>
      <c r="AS15" s="55" t="n"/>
      <c r="AT15" s="54" t="n"/>
      <c r="AU15" s="55" t="n"/>
      <c r="AV15" s="59" t="n"/>
      <c r="AW15" s="60" t="n"/>
      <c r="AX15" s="59" t="n"/>
      <c r="AY15" s="60" t="n"/>
      <c r="AZ15" s="59" t="n"/>
      <c r="BA15" s="60" t="n"/>
      <c r="BB15" s="59" t="n"/>
      <c r="BC15" s="60" t="n"/>
      <c r="BD15" s="59" t="n"/>
      <c r="BE15" s="60" t="n"/>
      <c r="BF15" s="54" t="n"/>
      <c r="BG15" s="55" t="n"/>
      <c r="BH15" s="54" t="n"/>
      <c r="BI15" s="55" t="n"/>
      <c r="BJ15" s="59" t="n"/>
      <c r="BK15" s="60" t="n"/>
      <c r="BL15" s="59" t="n"/>
      <c r="BM15" s="60" t="n"/>
      <c r="BN15" s="56">
        <f>IF($A15="","",COUNTIF(D15:BM15,"+"))</f>
        <v/>
      </c>
      <c r="BO15" s="57">
        <f>IF($A15="","",COUNTIF(D15:BM15,"x"))</f>
        <v/>
      </c>
      <c r="BP15" s="57">
        <f>IF($A15="","",COUNTIF(D15:BM15,"-"))</f>
        <v/>
      </c>
      <c r="BQ15" s="58">
        <f>IF($A15="","",BN15+BO15*0.5)</f>
        <v/>
      </c>
      <c r="BR15" s="58">
        <f>IF($A15="","",SUM(E15,G15,I15,K15,M15,O15,Q15,S15,U15,W15,Y15,AA15,AC15,AE15,AG15,AI15,AK15,AM15,AO15,AQ15,AS15,AU15,AW15,AY15,BA15,BC15,BE15,BG15,BI15,BK15,BM15))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4" t="n"/>
      <c r="E16" s="55" t="n"/>
      <c r="F16" s="52" t="n"/>
      <c r="G16" s="53" t="n"/>
      <c r="H16" s="52" t="n"/>
      <c r="I16" s="53" t="n"/>
      <c r="J16" s="52" t="n"/>
      <c r="K16" s="53" t="n"/>
      <c r="L16" s="52" t="n"/>
      <c r="M16" s="53" t="n"/>
      <c r="N16" s="52" t="n"/>
      <c r="O16" s="53" t="n"/>
      <c r="P16" s="54" t="n"/>
      <c r="Q16" s="55" t="n"/>
      <c r="R16" s="54" t="n"/>
      <c r="S16" s="55" t="n"/>
      <c r="T16" s="52" t="n"/>
      <c r="U16" s="53" t="n"/>
      <c r="V16" s="52" t="n"/>
      <c r="W16" s="53" t="n"/>
      <c r="X16" s="52" t="n"/>
      <c r="Y16" s="53" t="n"/>
      <c r="Z16" s="52" t="n"/>
      <c r="AA16" s="53" t="n"/>
      <c r="AB16" s="52" t="n"/>
      <c r="AC16" s="53" t="n"/>
      <c r="AD16" s="54" t="n"/>
      <c r="AE16" s="55" t="n"/>
      <c r="AF16" s="54" t="n"/>
      <c r="AG16" s="55" t="n"/>
      <c r="AH16" s="52" t="n"/>
      <c r="AI16" s="53" t="n"/>
      <c r="AJ16" s="52" t="n"/>
      <c r="AK16" s="53" t="n"/>
      <c r="AL16" s="52" t="n"/>
      <c r="AM16" s="53" t="n"/>
      <c r="AN16" s="52" t="n"/>
      <c r="AO16" s="53" t="n"/>
      <c r="AP16" s="52" t="n"/>
      <c r="AQ16" s="53" t="n"/>
      <c r="AR16" s="54" t="n"/>
      <c r="AS16" s="55" t="n"/>
      <c r="AT16" s="54" t="n"/>
      <c r="AU16" s="55" t="n"/>
      <c r="AV16" s="52" t="n"/>
      <c r="AW16" s="53" t="n"/>
      <c r="AX16" s="52" t="n"/>
      <c r="AY16" s="53" t="n"/>
      <c r="AZ16" s="52" t="n"/>
      <c r="BA16" s="53" t="n"/>
      <c r="BB16" s="52" t="n"/>
      <c r="BC16" s="53" t="n"/>
      <c r="BD16" s="52" t="n"/>
      <c r="BE16" s="53" t="n"/>
      <c r="BF16" s="54" t="n"/>
      <c r="BG16" s="55" t="n"/>
      <c r="BH16" s="54" t="n"/>
      <c r="BI16" s="55" t="n"/>
      <c r="BJ16" s="52" t="n"/>
      <c r="BK16" s="53" t="n"/>
      <c r="BL16" s="52" t="n"/>
      <c r="BM16" s="53" t="n"/>
      <c r="BN16" s="56">
        <f>IF($A16="","",COUNTIF(D16:BM16,"+"))</f>
        <v/>
      </c>
      <c r="BO16" s="57">
        <f>IF($A16="","",COUNTIF(D16:BM16,"x"))</f>
        <v/>
      </c>
      <c r="BP16" s="57">
        <f>IF($A16="","",COUNTIF(D16:BM16,"-"))</f>
        <v/>
      </c>
      <c r="BQ16" s="58">
        <f>IF($A16="","",BN16+BO16*0.5)</f>
        <v/>
      </c>
      <c r="BR16" s="58">
        <f>IF($A16="","",SUM(E16,G16,I16,K16,M16,O16,Q16,S16,U16,W16,Y16,AA16,AC16,AE16,AG16,AI16,AK16,AM16,AO16,AQ16,AS16,AU16,AW16,AY16,BA16,BC16,BE16,BG16,BI16,BK16,BM16))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4" t="n"/>
      <c r="E17" s="55" t="n"/>
      <c r="F17" s="59" t="n"/>
      <c r="G17" s="60" t="n"/>
      <c r="H17" s="59" t="n"/>
      <c r="I17" s="60" t="n"/>
      <c r="J17" s="59" t="n"/>
      <c r="K17" s="60" t="n"/>
      <c r="L17" s="59" t="n"/>
      <c r="M17" s="60" t="n"/>
      <c r="N17" s="59" t="n"/>
      <c r="O17" s="60" t="n"/>
      <c r="P17" s="54" t="n"/>
      <c r="Q17" s="55" t="n"/>
      <c r="R17" s="54" t="n"/>
      <c r="S17" s="55" t="n"/>
      <c r="T17" s="59" t="n"/>
      <c r="U17" s="60" t="n"/>
      <c r="V17" s="59" t="n"/>
      <c r="W17" s="60" t="n"/>
      <c r="X17" s="59" t="n"/>
      <c r="Y17" s="60" t="n"/>
      <c r="Z17" s="59" t="n"/>
      <c r="AA17" s="60" t="n"/>
      <c r="AB17" s="59" t="n"/>
      <c r="AC17" s="60" t="n"/>
      <c r="AD17" s="54" t="n"/>
      <c r="AE17" s="55" t="n"/>
      <c r="AF17" s="54" t="n"/>
      <c r="AG17" s="55" t="n"/>
      <c r="AH17" s="59" t="n"/>
      <c r="AI17" s="60" t="n"/>
      <c r="AJ17" s="59" t="n"/>
      <c r="AK17" s="60" t="n"/>
      <c r="AL17" s="59" t="n"/>
      <c r="AM17" s="60" t="n"/>
      <c r="AN17" s="59" t="n"/>
      <c r="AO17" s="60" t="n"/>
      <c r="AP17" s="59" t="n"/>
      <c r="AQ17" s="60" t="n"/>
      <c r="AR17" s="54" t="n"/>
      <c r="AS17" s="55" t="n"/>
      <c r="AT17" s="54" t="n"/>
      <c r="AU17" s="55" t="n"/>
      <c r="AV17" s="59" t="n"/>
      <c r="AW17" s="60" t="n"/>
      <c r="AX17" s="59" t="n"/>
      <c r="AY17" s="60" t="n"/>
      <c r="AZ17" s="59" t="n"/>
      <c r="BA17" s="60" t="n"/>
      <c r="BB17" s="59" t="n"/>
      <c r="BC17" s="60" t="n"/>
      <c r="BD17" s="59" t="n"/>
      <c r="BE17" s="60" t="n"/>
      <c r="BF17" s="54" t="n"/>
      <c r="BG17" s="55" t="n"/>
      <c r="BH17" s="54" t="n"/>
      <c r="BI17" s="55" t="n"/>
      <c r="BJ17" s="59" t="n"/>
      <c r="BK17" s="60" t="n"/>
      <c r="BL17" s="59" t="n"/>
      <c r="BM17" s="60" t="n"/>
      <c r="BN17" s="56">
        <f>IF($A17="","",COUNTIF(D17:BM17,"+"))</f>
        <v/>
      </c>
      <c r="BO17" s="57">
        <f>IF($A17="","",COUNTIF(D17:BM17,"x"))</f>
        <v/>
      </c>
      <c r="BP17" s="57">
        <f>IF($A17="","",COUNTIF(D17:BM17,"-"))</f>
        <v/>
      </c>
      <c r="BQ17" s="58">
        <f>IF($A17="","",BN17+BO17*0.5)</f>
        <v/>
      </c>
      <c r="BR17" s="58">
        <f>IF($A17="","",SUM(E17,G17,I17,K17,M17,O17,Q17,S17,U17,W17,Y17,AA17,AC17,AE17,AG17,AI17,AK17,AM17,AO17,AQ17,AS17,AU17,AW17,AY17,BA17,BC17,BE17,BG17,BI17,BK17,BM17))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4" t="n"/>
      <c r="E18" s="55" t="n"/>
      <c r="F18" s="52" t="n"/>
      <c r="G18" s="53" t="n"/>
      <c r="H18" s="52" t="n"/>
      <c r="I18" s="53" t="n"/>
      <c r="J18" s="52" t="n"/>
      <c r="K18" s="53" t="n"/>
      <c r="L18" s="52" t="n"/>
      <c r="M18" s="53" t="n"/>
      <c r="N18" s="52" t="n"/>
      <c r="O18" s="53" t="n"/>
      <c r="P18" s="54" t="n"/>
      <c r="Q18" s="55" t="n"/>
      <c r="R18" s="54" t="n"/>
      <c r="S18" s="55" t="n"/>
      <c r="T18" s="52" t="n"/>
      <c r="U18" s="53" t="n"/>
      <c r="V18" s="52" t="n"/>
      <c r="W18" s="53" t="n"/>
      <c r="X18" s="52" t="n"/>
      <c r="Y18" s="53" t="n"/>
      <c r="Z18" s="52" t="n"/>
      <c r="AA18" s="53" t="n"/>
      <c r="AB18" s="52" t="n"/>
      <c r="AC18" s="53" t="n"/>
      <c r="AD18" s="54" t="n"/>
      <c r="AE18" s="55" t="n"/>
      <c r="AF18" s="54" t="n"/>
      <c r="AG18" s="55" t="n"/>
      <c r="AH18" s="52" t="n"/>
      <c r="AI18" s="53" t="n"/>
      <c r="AJ18" s="52" t="n"/>
      <c r="AK18" s="53" t="n"/>
      <c r="AL18" s="52" t="n"/>
      <c r="AM18" s="53" t="n"/>
      <c r="AN18" s="52" t="n"/>
      <c r="AO18" s="53" t="n"/>
      <c r="AP18" s="52" t="n"/>
      <c r="AQ18" s="53" t="n"/>
      <c r="AR18" s="54" t="n"/>
      <c r="AS18" s="55" t="n"/>
      <c r="AT18" s="54" t="n"/>
      <c r="AU18" s="55" t="n"/>
      <c r="AV18" s="52" t="n"/>
      <c r="AW18" s="53" t="n"/>
      <c r="AX18" s="52" t="n"/>
      <c r="AY18" s="53" t="n"/>
      <c r="AZ18" s="52" t="n"/>
      <c r="BA18" s="53" t="n"/>
      <c r="BB18" s="52" t="n"/>
      <c r="BC18" s="53" t="n"/>
      <c r="BD18" s="52" t="n"/>
      <c r="BE18" s="53" t="n"/>
      <c r="BF18" s="54" t="n"/>
      <c r="BG18" s="55" t="n"/>
      <c r="BH18" s="54" t="n"/>
      <c r="BI18" s="55" t="n"/>
      <c r="BJ18" s="52" t="n"/>
      <c r="BK18" s="53" t="n"/>
      <c r="BL18" s="52" t="n"/>
      <c r="BM18" s="53" t="n"/>
      <c r="BN18" s="56">
        <f>IF($A18="","",COUNTIF(D18:BM18,"+"))</f>
        <v/>
      </c>
      <c r="BO18" s="57">
        <f>IF($A18="","",COUNTIF(D18:BM18,"x"))</f>
        <v/>
      </c>
      <c r="BP18" s="57">
        <f>IF($A18="","",COUNTIF(D18:BM18,"-"))</f>
        <v/>
      </c>
      <c r="BQ18" s="58">
        <f>IF($A18="","",BN18+BO18*0.5)</f>
        <v/>
      </c>
      <c r="BR18" s="58">
        <f>IF($A18="","",SUM(E18,G18,I18,K18,M18,O18,Q18,S18,U18,W18,Y18,AA18,AC18,AE18,AG18,AI18,AK18,AM18,AO18,AQ18,AS18,AU18,AW18,AY18,BA18,BC18,BE18,BG18,BI18,BK18,BM18))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4" t="n"/>
      <c r="E19" s="55" t="n"/>
      <c r="F19" s="59" t="n"/>
      <c r="G19" s="60" t="n"/>
      <c r="H19" s="59" t="n"/>
      <c r="I19" s="60" t="n"/>
      <c r="J19" s="59" t="n"/>
      <c r="K19" s="60" t="n"/>
      <c r="L19" s="59" t="n"/>
      <c r="M19" s="60" t="n"/>
      <c r="N19" s="59" t="n"/>
      <c r="O19" s="60" t="n"/>
      <c r="P19" s="54" t="n"/>
      <c r="Q19" s="55" t="n"/>
      <c r="R19" s="54" t="n"/>
      <c r="S19" s="55" t="n"/>
      <c r="T19" s="59" t="n"/>
      <c r="U19" s="60" t="n"/>
      <c r="V19" s="59" t="n"/>
      <c r="W19" s="60" t="n"/>
      <c r="X19" s="59" t="n"/>
      <c r="Y19" s="60" t="n"/>
      <c r="Z19" s="59" t="n"/>
      <c r="AA19" s="60" t="n"/>
      <c r="AB19" s="59" t="n"/>
      <c r="AC19" s="60" t="n"/>
      <c r="AD19" s="54" t="n"/>
      <c r="AE19" s="55" t="n"/>
      <c r="AF19" s="54" t="n"/>
      <c r="AG19" s="55" t="n"/>
      <c r="AH19" s="59" t="n"/>
      <c r="AI19" s="60" t="n"/>
      <c r="AJ19" s="59" t="n"/>
      <c r="AK19" s="60" t="n"/>
      <c r="AL19" s="59" t="n"/>
      <c r="AM19" s="60" t="n"/>
      <c r="AN19" s="59" t="n"/>
      <c r="AO19" s="60" t="n"/>
      <c r="AP19" s="59" t="n"/>
      <c r="AQ19" s="60" t="n"/>
      <c r="AR19" s="54" t="n"/>
      <c r="AS19" s="55" t="n"/>
      <c r="AT19" s="54" t="n"/>
      <c r="AU19" s="55" t="n"/>
      <c r="AV19" s="59" t="n"/>
      <c r="AW19" s="60" t="n"/>
      <c r="AX19" s="59" t="n"/>
      <c r="AY19" s="60" t="n"/>
      <c r="AZ19" s="59" t="n"/>
      <c r="BA19" s="60" t="n"/>
      <c r="BB19" s="59" t="n"/>
      <c r="BC19" s="60" t="n"/>
      <c r="BD19" s="59" t="n"/>
      <c r="BE19" s="60" t="n"/>
      <c r="BF19" s="54" t="n"/>
      <c r="BG19" s="55" t="n"/>
      <c r="BH19" s="54" t="n"/>
      <c r="BI19" s="55" t="n"/>
      <c r="BJ19" s="59" t="n"/>
      <c r="BK19" s="60" t="n"/>
      <c r="BL19" s="59" t="n"/>
      <c r="BM19" s="60" t="n"/>
      <c r="BN19" s="56">
        <f>IF($A19="","",COUNTIF(D19:BM19,"+"))</f>
        <v/>
      </c>
      <c r="BO19" s="57">
        <f>IF($A19="","",COUNTIF(D19:BM19,"x"))</f>
        <v/>
      </c>
      <c r="BP19" s="57">
        <f>IF($A19="","",COUNTIF(D19:BM19,"-"))</f>
        <v/>
      </c>
      <c r="BQ19" s="58">
        <f>IF($A19="","",BN19+BO19*0.5)</f>
        <v/>
      </c>
      <c r="BR19" s="58">
        <f>IF($A19="","",SUM(E19,G19,I19,K19,M19,O19,Q19,S19,U19,W19,Y19,AA19,AC19,AE19,AG19,AI19,AK19,AM19,AO19,AQ19,AS19,AU19,AW19,AY19,BA19,BC19,BE19,BG19,BI19,BK19,BM19))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4" t="n"/>
      <c r="E20" s="55" t="n"/>
      <c r="F20" s="52" t="n"/>
      <c r="G20" s="53" t="n"/>
      <c r="H20" s="52" t="n"/>
      <c r="I20" s="53" t="n"/>
      <c r="J20" s="52" t="n"/>
      <c r="K20" s="53" t="n"/>
      <c r="L20" s="52" t="n"/>
      <c r="M20" s="53" t="n"/>
      <c r="N20" s="52" t="n"/>
      <c r="O20" s="53" t="n"/>
      <c r="P20" s="54" t="n"/>
      <c r="Q20" s="55" t="n"/>
      <c r="R20" s="54" t="n"/>
      <c r="S20" s="55" t="n"/>
      <c r="T20" s="52" t="n"/>
      <c r="U20" s="53" t="n"/>
      <c r="V20" s="52" t="n"/>
      <c r="W20" s="53" t="n"/>
      <c r="X20" s="52" t="n"/>
      <c r="Y20" s="53" t="n"/>
      <c r="Z20" s="52" t="n"/>
      <c r="AA20" s="53" t="n"/>
      <c r="AB20" s="52" t="n"/>
      <c r="AC20" s="53" t="n"/>
      <c r="AD20" s="54" t="n"/>
      <c r="AE20" s="55" t="n"/>
      <c r="AF20" s="54" t="n"/>
      <c r="AG20" s="55" t="n"/>
      <c r="AH20" s="52" t="n"/>
      <c r="AI20" s="53" t="n"/>
      <c r="AJ20" s="52" t="n"/>
      <c r="AK20" s="53" t="n"/>
      <c r="AL20" s="52" t="n"/>
      <c r="AM20" s="53" t="n"/>
      <c r="AN20" s="52" t="n"/>
      <c r="AO20" s="53" t="n"/>
      <c r="AP20" s="52" t="n"/>
      <c r="AQ20" s="53" t="n"/>
      <c r="AR20" s="54" t="n"/>
      <c r="AS20" s="55" t="n"/>
      <c r="AT20" s="54" t="n"/>
      <c r="AU20" s="55" t="n"/>
      <c r="AV20" s="52" t="n"/>
      <c r="AW20" s="53" t="n"/>
      <c r="AX20" s="52" t="n"/>
      <c r="AY20" s="53" t="n"/>
      <c r="AZ20" s="52" t="n"/>
      <c r="BA20" s="53" t="n"/>
      <c r="BB20" s="52" t="n"/>
      <c r="BC20" s="53" t="n"/>
      <c r="BD20" s="52" t="n"/>
      <c r="BE20" s="53" t="n"/>
      <c r="BF20" s="54" t="n"/>
      <c r="BG20" s="55" t="n"/>
      <c r="BH20" s="54" t="n"/>
      <c r="BI20" s="55" t="n"/>
      <c r="BJ20" s="52" t="n"/>
      <c r="BK20" s="53" t="n"/>
      <c r="BL20" s="52" t="n"/>
      <c r="BM20" s="53" t="n"/>
      <c r="BN20" s="56">
        <f>IF($A20="","",COUNTIF(D20:BM20,"+"))</f>
        <v/>
      </c>
      <c r="BO20" s="57">
        <f>IF($A20="","",COUNTIF(D20:BM20,"x"))</f>
        <v/>
      </c>
      <c r="BP20" s="57">
        <f>IF($A20="","",COUNTIF(D20:BM20,"-"))</f>
        <v/>
      </c>
      <c r="BQ20" s="58">
        <f>IF($A20="","",BN20+BO20*0.5)</f>
        <v/>
      </c>
      <c r="BR20" s="58">
        <f>IF($A20="","",SUM(E20,G20,I20,K20,M20,O20,Q20,S20,U20,W20,Y20,AA20,AC20,AE20,AG20,AI20,AK20,AM20,AO20,AQ20,AS20,AU20,AW20,AY20,BA20,BC20,BE20,BG20,BI20,BK20,BM20))</f>
        <v/>
      </c>
    </row>
  </sheetData>
  <mergeCells count="44">
    <mergeCell ref="F4:G4"/>
    <mergeCell ref="P4:Q4"/>
    <mergeCell ref="AX4:AY4"/>
    <mergeCell ref="BH4:BI4"/>
    <mergeCell ref="C4:C5"/>
    <mergeCell ref="BJ4:BK4"/>
    <mergeCell ref="BP4:BP5"/>
    <mergeCell ref="H4:I4"/>
    <mergeCell ref="BQ4:BQ5"/>
    <mergeCell ref="R4:S4"/>
    <mergeCell ref="A2:C2"/>
    <mergeCell ref="AB4:AC4"/>
    <mergeCell ref="T4:U4"/>
    <mergeCell ref="AF4:AG4"/>
    <mergeCell ref="V4:W4"/>
    <mergeCell ref="AH4:AI4"/>
    <mergeCell ref="AN4:AO4"/>
    <mergeCell ref="BN4:BN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R4:BR5"/>
    <mergeCell ref="D4:E4"/>
    <mergeCell ref="N2:Q2"/>
    <mergeCell ref="D2:G2"/>
    <mergeCell ref="BO4:BO5"/>
    <mergeCell ref="X4:Y4"/>
    <mergeCell ref="AJ4:AK4"/>
    <mergeCell ref="Z4:AA4"/>
    <mergeCell ref="B4:B5"/>
    <mergeCell ref="AL4:AM4"/>
    <mergeCell ref="A1:BR1"/>
    <mergeCell ref="AD4:AE4"/>
    <mergeCell ref="AP4:AQ4"/>
    <mergeCell ref="N4:O4"/>
  </mergeCells>
  <conditionalFormatting sqref="D6:BM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 BL6:BL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 BM6:BM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P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9" customWidth="1" min="64" max="64"/>
    <col width="9" customWidth="1" min="65" max="65"/>
    <col width="9" customWidth="1" min="66" max="66"/>
    <col width="11" customWidth="1" min="67" max="67"/>
    <col width="11" customWidth="1" min="68" max="68"/>
  </cols>
  <sheetData>
    <row r="1" ht="32" customHeight="1">
      <c r="A1" s="1" t="inlineStr">
        <is>
          <t>NISAN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20" customHeight="1">
      <c r="A2" s="25" t="inlineStr">
        <is>
          <t>Takvim gün sayısı: 30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Çar</t>
        </is>
      </c>
      <c r="E4" s="23" t="n"/>
      <c r="F4" s="23" t="inlineStr">
        <is>
          <t>2
Per</t>
        </is>
      </c>
      <c r="G4" s="23" t="n"/>
      <c r="H4" s="23" t="inlineStr">
        <is>
          <t>3
Cum</t>
        </is>
      </c>
      <c r="I4" s="23" t="n"/>
      <c r="J4" s="49" t="inlineStr">
        <is>
          <t>4
Cmt</t>
        </is>
      </c>
      <c r="K4" s="49" t="n"/>
      <c r="L4" s="49" t="inlineStr">
        <is>
          <t>5
Paz</t>
        </is>
      </c>
      <c r="M4" s="49" t="n"/>
      <c r="N4" s="23" t="inlineStr">
        <is>
          <t>6
Pzt</t>
        </is>
      </c>
      <c r="O4" s="23" t="n"/>
      <c r="P4" s="23" t="inlineStr">
        <is>
          <t>7
Sal</t>
        </is>
      </c>
      <c r="Q4" s="23" t="n"/>
      <c r="R4" s="23" t="inlineStr">
        <is>
          <t>8
Çar</t>
        </is>
      </c>
      <c r="S4" s="23" t="n"/>
      <c r="T4" s="23" t="inlineStr">
        <is>
          <t>9
Per</t>
        </is>
      </c>
      <c r="U4" s="23" t="n"/>
      <c r="V4" s="23" t="inlineStr">
        <is>
          <t>10
Cum</t>
        </is>
      </c>
      <c r="W4" s="23" t="n"/>
      <c r="X4" s="49" t="inlineStr">
        <is>
          <t>11
Cmt</t>
        </is>
      </c>
      <c r="Y4" s="49" t="n"/>
      <c r="Z4" s="49" t="inlineStr">
        <is>
          <t>12
Paz</t>
        </is>
      </c>
      <c r="AA4" s="49" t="n"/>
      <c r="AB4" s="23" t="inlineStr">
        <is>
          <t>13
Pzt</t>
        </is>
      </c>
      <c r="AC4" s="23" t="n"/>
      <c r="AD4" s="23" t="inlineStr">
        <is>
          <t>14
Sal</t>
        </is>
      </c>
      <c r="AE4" s="23" t="n"/>
      <c r="AF4" s="23" t="inlineStr">
        <is>
          <t>15
Çar</t>
        </is>
      </c>
      <c r="AG4" s="23" t="n"/>
      <c r="AH4" s="23" t="inlineStr">
        <is>
          <t>16
Per</t>
        </is>
      </c>
      <c r="AI4" s="23" t="n"/>
      <c r="AJ4" s="23" t="inlineStr">
        <is>
          <t>17
Cum</t>
        </is>
      </c>
      <c r="AK4" s="23" t="n"/>
      <c r="AL4" s="49" t="inlineStr">
        <is>
          <t>18
Cmt</t>
        </is>
      </c>
      <c r="AM4" s="49" t="n"/>
      <c r="AN4" s="49" t="inlineStr">
        <is>
          <t>19
Paz</t>
        </is>
      </c>
      <c r="AO4" s="49" t="n"/>
      <c r="AP4" s="23" t="inlineStr">
        <is>
          <t>20
Pzt</t>
        </is>
      </c>
      <c r="AQ4" s="23" t="n"/>
      <c r="AR4" s="23" t="inlineStr">
        <is>
          <t>21
Sal</t>
        </is>
      </c>
      <c r="AS4" s="23" t="n"/>
      <c r="AT4" s="23" t="inlineStr">
        <is>
          <t>22
Çar</t>
        </is>
      </c>
      <c r="AU4" s="23" t="n"/>
      <c r="AV4" s="23" t="inlineStr">
        <is>
          <t>23
Per</t>
        </is>
      </c>
      <c r="AW4" s="23" t="n"/>
      <c r="AX4" s="23" t="inlineStr">
        <is>
          <t>24
Cum</t>
        </is>
      </c>
      <c r="AY4" s="23" t="n"/>
      <c r="AZ4" s="49" t="inlineStr">
        <is>
          <t>25
Cmt</t>
        </is>
      </c>
      <c r="BA4" s="49" t="n"/>
      <c r="BB4" s="49" t="inlineStr">
        <is>
          <t>26
Paz</t>
        </is>
      </c>
      <c r="BC4" s="49" t="n"/>
      <c r="BD4" s="23" t="inlineStr">
        <is>
          <t>27
Pzt</t>
        </is>
      </c>
      <c r="BE4" s="23" t="n"/>
      <c r="BF4" s="23" t="inlineStr">
        <is>
          <t>28
Sal</t>
        </is>
      </c>
      <c r="BG4" s="23" t="n"/>
      <c r="BH4" s="23" t="inlineStr">
        <is>
          <t>29
Çar</t>
        </is>
      </c>
      <c r="BI4" s="23" t="n"/>
      <c r="BJ4" s="23" t="inlineStr">
        <is>
          <t>30
Per</t>
        </is>
      </c>
      <c r="BK4" s="23" t="n"/>
      <c r="BL4" s="50" t="inlineStr">
        <is>
          <t>Tam Gün
(+)</t>
        </is>
      </c>
      <c r="BM4" s="10" t="inlineStr">
        <is>
          <t>Yarım Gün
(x)</t>
        </is>
      </c>
      <c r="BN4" s="10" t="inlineStr">
        <is>
          <t>Gelmediği
Gün (-)</t>
        </is>
      </c>
      <c r="BO4" s="10" t="inlineStr">
        <is>
          <t>Fiili
Çalışılan Gün</t>
        </is>
      </c>
      <c r="BP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0" t="n"/>
      <c r="BM5" s="10" t="n"/>
      <c r="BN5" s="10" t="n"/>
      <c r="BO5" s="10" t="n"/>
      <c r="BP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n"/>
      <c r="E6" s="53" t="n"/>
      <c r="F6" s="52" t="n"/>
      <c r="G6" s="53" t="n"/>
      <c r="H6" s="52" t="n"/>
      <c r="I6" s="53" t="n"/>
      <c r="J6" s="54" t="n"/>
      <c r="K6" s="55" t="n"/>
      <c r="L6" s="54" t="n"/>
      <c r="M6" s="55" t="n"/>
      <c r="N6" s="52" t="n"/>
      <c r="O6" s="53" t="n"/>
      <c r="P6" s="52" t="n"/>
      <c r="Q6" s="53" t="n"/>
      <c r="R6" s="52" t="n"/>
      <c r="S6" s="53" t="n"/>
      <c r="T6" s="52" t="n"/>
      <c r="U6" s="53" t="n"/>
      <c r="V6" s="52" t="n"/>
      <c r="W6" s="53" t="n"/>
      <c r="X6" s="54" t="n"/>
      <c r="Y6" s="55" t="n"/>
      <c r="Z6" s="54" t="n"/>
      <c r="AA6" s="55" t="n"/>
      <c r="AB6" s="52" t="n"/>
      <c r="AC6" s="53" t="n"/>
      <c r="AD6" s="52" t="n"/>
      <c r="AE6" s="53" t="n"/>
      <c r="AF6" s="52" t="n"/>
      <c r="AG6" s="53" t="n"/>
      <c r="AH6" s="52" t="n"/>
      <c r="AI6" s="53" t="n"/>
      <c r="AJ6" s="52" t="n"/>
      <c r="AK6" s="53" t="n"/>
      <c r="AL6" s="54" t="n"/>
      <c r="AM6" s="55" t="n"/>
      <c r="AN6" s="54" t="n"/>
      <c r="AO6" s="55" t="n"/>
      <c r="AP6" s="52" t="n"/>
      <c r="AQ6" s="53" t="n"/>
      <c r="AR6" s="52" t="n"/>
      <c r="AS6" s="53" t="n"/>
      <c r="AT6" s="52" t="n"/>
      <c r="AU6" s="53" t="n"/>
      <c r="AV6" s="52" t="n"/>
      <c r="AW6" s="53" t="n"/>
      <c r="AX6" s="52" t="n"/>
      <c r="AY6" s="53" t="n"/>
      <c r="AZ6" s="54" t="n"/>
      <c r="BA6" s="55" t="n"/>
      <c r="BB6" s="54" t="n"/>
      <c r="BC6" s="55" t="n"/>
      <c r="BD6" s="52" t="n"/>
      <c r="BE6" s="53" t="n"/>
      <c r="BF6" s="52" t="n"/>
      <c r="BG6" s="53" t="n"/>
      <c r="BH6" s="52" t="n"/>
      <c r="BI6" s="53" t="n"/>
      <c r="BJ6" s="52" t="n"/>
      <c r="BK6" s="53" t="n"/>
      <c r="BL6" s="56">
        <f>IF($A6="","",COUNTIF(D6:BK6,"+"))</f>
        <v/>
      </c>
      <c r="BM6" s="57">
        <f>IF($A6="","",COUNTIF(D6:BK6,"x"))</f>
        <v/>
      </c>
      <c r="BN6" s="57">
        <f>IF($A6="","",COUNTIF(D6:BK6,"-"))</f>
        <v/>
      </c>
      <c r="BO6" s="58">
        <f>IF($A6="","",BL6+BM6*0.5)</f>
        <v/>
      </c>
      <c r="BP6" s="58">
        <f>IF($A6="","",SUM(E6,G6,I6,K6,M6,O6,Q6,S6,U6,W6,Y6,AA6,AC6,AE6,AG6,AI6,AK6,AM6,AO6,AQ6,AS6,AU6,AW6,AY6,BA6,BC6,BE6,BG6,BI6,BK6))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n"/>
      <c r="E7" s="60" t="n"/>
      <c r="F7" s="59" t="n"/>
      <c r="G7" s="60" t="n"/>
      <c r="H7" s="59" t="n"/>
      <c r="I7" s="60" t="n"/>
      <c r="J7" s="54" t="n"/>
      <c r="K7" s="55" t="n"/>
      <c r="L7" s="54" t="n"/>
      <c r="M7" s="55" t="n"/>
      <c r="N7" s="59" t="n"/>
      <c r="O7" s="60" t="n"/>
      <c r="P7" s="59" t="n"/>
      <c r="Q7" s="60" t="n"/>
      <c r="R7" s="59" t="n"/>
      <c r="S7" s="60" t="n"/>
      <c r="T7" s="59" t="n"/>
      <c r="U7" s="60" t="n"/>
      <c r="V7" s="59" t="n"/>
      <c r="W7" s="60" t="n"/>
      <c r="X7" s="54" t="n"/>
      <c r="Y7" s="55" t="n"/>
      <c r="Z7" s="54" t="n"/>
      <c r="AA7" s="55" t="n"/>
      <c r="AB7" s="59" t="n"/>
      <c r="AC7" s="60" t="n"/>
      <c r="AD7" s="59" t="n"/>
      <c r="AE7" s="60" t="n"/>
      <c r="AF7" s="59" t="n"/>
      <c r="AG7" s="60" t="n"/>
      <c r="AH7" s="59" t="n"/>
      <c r="AI7" s="60" t="n"/>
      <c r="AJ7" s="59" t="n"/>
      <c r="AK7" s="60" t="n"/>
      <c r="AL7" s="54" t="n"/>
      <c r="AM7" s="55" t="n"/>
      <c r="AN7" s="54" t="n"/>
      <c r="AO7" s="55" t="n"/>
      <c r="AP7" s="59" t="n"/>
      <c r="AQ7" s="60" t="n"/>
      <c r="AR7" s="59" t="n"/>
      <c r="AS7" s="60" t="n"/>
      <c r="AT7" s="59" t="n"/>
      <c r="AU7" s="60" t="n"/>
      <c r="AV7" s="59" t="n"/>
      <c r="AW7" s="60" t="n"/>
      <c r="AX7" s="59" t="n"/>
      <c r="AY7" s="60" t="n"/>
      <c r="AZ7" s="54" t="n"/>
      <c r="BA7" s="55" t="n"/>
      <c r="BB7" s="54" t="n"/>
      <c r="BC7" s="55" t="n"/>
      <c r="BD7" s="59" t="n"/>
      <c r="BE7" s="60" t="n"/>
      <c r="BF7" s="59" t="n"/>
      <c r="BG7" s="60" t="n"/>
      <c r="BH7" s="59" t="n"/>
      <c r="BI7" s="60" t="n"/>
      <c r="BJ7" s="59" t="n"/>
      <c r="BK7" s="60" t="n"/>
      <c r="BL7" s="56">
        <f>IF($A7="","",COUNTIF(D7:BK7,"+"))</f>
        <v/>
      </c>
      <c r="BM7" s="57">
        <f>IF($A7="","",COUNTIF(D7:BK7,"x"))</f>
        <v/>
      </c>
      <c r="BN7" s="57">
        <f>IF($A7="","",COUNTIF(D7:BK7,"-"))</f>
        <v/>
      </c>
      <c r="BO7" s="58">
        <f>IF($A7="","",BL7+BM7*0.5)</f>
        <v/>
      </c>
      <c r="BP7" s="58">
        <f>IF($A7="","",SUM(E7,G7,I7,K7,M7,O7,Q7,S7,U7,W7,Y7,AA7,AC7,AE7,AG7,AI7,AK7,AM7,AO7,AQ7,AS7,AU7,AW7,AY7,BA7,BC7,BE7,BG7,BI7,BK7))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n"/>
      <c r="E8" s="53" t="n"/>
      <c r="F8" s="52" t="n"/>
      <c r="G8" s="53" t="n"/>
      <c r="H8" s="52" t="n"/>
      <c r="I8" s="53" t="n"/>
      <c r="J8" s="54" t="n"/>
      <c r="K8" s="55" t="n"/>
      <c r="L8" s="54" t="n"/>
      <c r="M8" s="55" t="n"/>
      <c r="N8" s="52" t="n"/>
      <c r="O8" s="53" t="n"/>
      <c r="P8" s="52" t="n"/>
      <c r="Q8" s="53" t="n"/>
      <c r="R8" s="52" t="n"/>
      <c r="S8" s="53" t="n"/>
      <c r="T8" s="52" t="n"/>
      <c r="U8" s="53" t="n"/>
      <c r="V8" s="52" t="n"/>
      <c r="W8" s="53" t="n"/>
      <c r="X8" s="54" t="n"/>
      <c r="Y8" s="55" t="n"/>
      <c r="Z8" s="54" t="n"/>
      <c r="AA8" s="55" t="n"/>
      <c r="AB8" s="52" t="n"/>
      <c r="AC8" s="53" t="n"/>
      <c r="AD8" s="52" t="n"/>
      <c r="AE8" s="53" t="n"/>
      <c r="AF8" s="52" t="n"/>
      <c r="AG8" s="53" t="n"/>
      <c r="AH8" s="52" t="n"/>
      <c r="AI8" s="53" t="n"/>
      <c r="AJ8" s="52" t="n"/>
      <c r="AK8" s="53" t="n"/>
      <c r="AL8" s="54" t="n"/>
      <c r="AM8" s="55" t="n"/>
      <c r="AN8" s="54" t="n"/>
      <c r="AO8" s="55" t="n"/>
      <c r="AP8" s="52" t="n"/>
      <c r="AQ8" s="53" t="n"/>
      <c r="AR8" s="52" t="n"/>
      <c r="AS8" s="53" t="n"/>
      <c r="AT8" s="52" t="n"/>
      <c r="AU8" s="53" t="n"/>
      <c r="AV8" s="52" t="n"/>
      <c r="AW8" s="53" t="n"/>
      <c r="AX8" s="52" t="n"/>
      <c r="AY8" s="53" t="n"/>
      <c r="AZ8" s="54" t="n"/>
      <c r="BA8" s="55" t="n"/>
      <c r="BB8" s="54" t="n"/>
      <c r="BC8" s="55" t="n"/>
      <c r="BD8" s="52" t="n"/>
      <c r="BE8" s="53" t="n"/>
      <c r="BF8" s="52" t="n"/>
      <c r="BG8" s="53" t="n"/>
      <c r="BH8" s="52" t="n"/>
      <c r="BI8" s="53" t="n"/>
      <c r="BJ8" s="52" t="n"/>
      <c r="BK8" s="53" t="n"/>
      <c r="BL8" s="56">
        <f>IF($A8="","",COUNTIF(D8:BK8,"+"))</f>
        <v/>
      </c>
      <c r="BM8" s="57">
        <f>IF($A8="","",COUNTIF(D8:BK8,"x"))</f>
        <v/>
      </c>
      <c r="BN8" s="57">
        <f>IF($A8="","",COUNTIF(D8:BK8,"-"))</f>
        <v/>
      </c>
      <c r="BO8" s="58">
        <f>IF($A8="","",BL8+BM8*0.5)</f>
        <v/>
      </c>
      <c r="BP8" s="58">
        <f>IF($A8="","",SUM(E8,G8,I8,K8,M8,O8,Q8,S8,U8,W8,Y8,AA8,AC8,AE8,AG8,AI8,AK8,AM8,AO8,AQ8,AS8,AU8,AW8,AY8,BA8,BC8,BE8,BG8,BI8,BK8))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n"/>
      <c r="E9" s="60" t="n"/>
      <c r="F9" s="59" t="n"/>
      <c r="G9" s="60" t="n"/>
      <c r="H9" s="59" t="n"/>
      <c r="I9" s="60" t="n"/>
      <c r="J9" s="54" t="n"/>
      <c r="K9" s="55" t="n"/>
      <c r="L9" s="54" t="n"/>
      <c r="M9" s="55" t="n"/>
      <c r="N9" s="59" t="n"/>
      <c r="O9" s="60" t="n"/>
      <c r="P9" s="59" t="n"/>
      <c r="Q9" s="60" t="n"/>
      <c r="R9" s="59" t="n"/>
      <c r="S9" s="60" t="n"/>
      <c r="T9" s="59" t="n"/>
      <c r="U9" s="60" t="n"/>
      <c r="V9" s="59" t="n"/>
      <c r="W9" s="60" t="n"/>
      <c r="X9" s="54" t="n"/>
      <c r="Y9" s="55" t="n"/>
      <c r="Z9" s="54" t="n"/>
      <c r="AA9" s="55" t="n"/>
      <c r="AB9" s="59" t="n"/>
      <c r="AC9" s="60" t="n"/>
      <c r="AD9" s="59" t="n"/>
      <c r="AE9" s="60" t="n"/>
      <c r="AF9" s="59" t="n"/>
      <c r="AG9" s="60" t="n"/>
      <c r="AH9" s="59" t="n"/>
      <c r="AI9" s="60" t="n"/>
      <c r="AJ9" s="59" t="n"/>
      <c r="AK9" s="60" t="n"/>
      <c r="AL9" s="54" t="n"/>
      <c r="AM9" s="55" t="n"/>
      <c r="AN9" s="54" t="n"/>
      <c r="AO9" s="55" t="n"/>
      <c r="AP9" s="59" t="n"/>
      <c r="AQ9" s="60" t="n"/>
      <c r="AR9" s="59" t="n"/>
      <c r="AS9" s="60" t="n"/>
      <c r="AT9" s="59" t="n"/>
      <c r="AU9" s="60" t="n"/>
      <c r="AV9" s="59" t="n"/>
      <c r="AW9" s="60" t="n"/>
      <c r="AX9" s="59" t="n"/>
      <c r="AY9" s="60" t="n"/>
      <c r="AZ9" s="54" t="n"/>
      <c r="BA9" s="55" t="n"/>
      <c r="BB9" s="54" t="n"/>
      <c r="BC9" s="55" t="n"/>
      <c r="BD9" s="59" t="n"/>
      <c r="BE9" s="60" t="n"/>
      <c r="BF9" s="59" t="n"/>
      <c r="BG9" s="60" t="n"/>
      <c r="BH9" s="59" t="n"/>
      <c r="BI9" s="60" t="n"/>
      <c r="BJ9" s="59" t="n"/>
      <c r="BK9" s="60" t="n"/>
      <c r="BL9" s="56">
        <f>IF($A9="","",COUNTIF(D9:BK9,"+"))</f>
        <v/>
      </c>
      <c r="BM9" s="57">
        <f>IF($A9="","",COUNTIF(D9:BK9,"x"))</f>
        <v/>
      </c>
      <c r="BN9" s="57">
        <f>IF($A9="","",COUNTIF(D9:BK9,"-"))</f>
        <v/>
      </c>
      <c r="BO9" s="58">
        <f>IF($A9="","",BL9+BM9*0.5)</f>
        <v/>
      </c>
      <c r="BP9" s="58">
        <f>IF($A9="","",SUM(E9,G9,I9,K9,M9,O9,Q9,S9,U9,W9,Y9,AA9,AC9,AE9,AG9,AI9,AK9,AM9,AO9,AQ9,AS9,AU9,AW9,AY9,BA9,BC9,BE9,BG9,BI9,BK9))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n"/>
      <c r="E10" s="53" t="n"/>
      <c r="F10" s="52" t="n"/>
      <c r="G10" s="53" t="n"/>
      <c r="H10" s="52" t="n"/>
      <c r="I10" s="53" t="n"/>
      <c r="J10" s="54" t="n"/>
      <c r="K10" s="55" t="n"/>
      <c r="L10" s="54" t="n"/>
      <c r="M10" s="55" t="n"/>
      <c r="N10" s="52" t="n"/>
      <c r="O10" s="53" t="n"/>
      <c r="P10" s="52" t="n"/>
      <c r="Q10" s="53" t="n"/>
      <c r="R10" s="52" t="n"/>
      <c r="S10" s="53" t="n"/>
      <c r="T10" s="52" t="n"/>
      <c r="U10" s="53" t="n"/>
      <c r="V10" s="52" t="n"/>
      <c r="W10" s="53" t="n"/>
      <c r="X10" s="54" t="n"/>
      <c r="Y10" s="55" t="n"/>
      <c r="Z10" s="54" t="n"/>
      <c r="AA10" s="55" t="n"/>
      <c r="AB10" s="52" t="n"/>
      <c r="AC10" s="53" t="n"/>
      <c r="AD10" s="52" t="n"/>
      <c r="AE10" s="53" t="n"/>
      <c r="AF10" s="52" t="n"/>
      <c r="AG10" s="53" t="n"/>
      <c r="AH10" s="52" t="n"/>
      <c r="AI10" s="53" t="n"/>
      <c r="AJ10" s="52" t="n"/>
      <c r="AK10" s="53" t="n"/>
      <c r="AL10" s="54" t="n"/>
      <c r="AM10" s="55" t="n"/>
      <c r="AN10" s="54" t="n"/>
      <c r="AO10" s="55" t="n"/>
      <c r="AP10" s="52" t="n"/>
      <c r="AQ10" s="53" t="n"/>
      <c r="AR10" s="52" t="n"/>
      <c r="AS10" s="53" t="n"/>
      <c r="AT10" s="52" t="n"/>
      <c r="AU10" s="53" t="n"/>
      <c r="AV10" s="52" t="n"/>
      <c r="AW10" s="53" t="n"/>
      <c r="AX10" s="52" t="n"/>
      <c r="AY10" s="53" t="n"/>
      <c r="AZ10" s="54" t="n"/>
      <c r="BA10" s="55" t="n"/>
      <c r="BB10" s="54" t="n"/>
      <c r="BC10" s="55" t="n"/>
      <c r="BD10" s="52" t="n"/>
      <c r="BE10" s="53" t="n"/>
      <c r="BF10" s="52" t="n"/>
      <c r="BG10" s="53" t="n"/>
      <c r="BH10" s="52" t="n"/>
      <c r="BI10" s="53" t="n"/>
      <c r="BJ10" s="52" t="n"/>
      <c r="BK10" s="53" t="n"/>
      <c r="BL10" s="56">
        <f>IF($A10="","",COUNTIF(D10:BK10,"+"))</f>
        <v/>
      </c>
      <c r="BM10" s="57">
        <f>IF($A10="","",COUNTIF(D10:BK10,"x"))</f>
        <v/>
      </c>
      <c r="BN10" s="57">
        <f>IF($A10="","",COUNTIF(D10:BK10,"-"))</f>
        <v/>
      </c>
      <c r="BO10" s="58">
        <f>IF($A10="","",BL10+BM10*0.5)</f>
        <v/>
      </c>
      <c r="BP10" s="58">
        <f>IF($A10="","",SUM(E10,G10,I10,K10,M10,O10,Q10,S10,U10,W10,Y10,AA10,AC10,AE10,AG10,AI10,AK10,AM10,AO10,AQ10,AS10,AU10,AW10,AY10,BA10,BC10,BE10,BG10,BI10,BK10))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n"/>
      <c r="E11" s="60" t="n"/>
      <c r="F11" s="59" t="n"/>
      <c r="G11" s="60" t="n"/>
      <c r="H11" s="59" t="n"/>
      <c r="I11" s="60" t="n"/>
      <c r="J11" s="54" t="n"/>
      <c r="K11" s="55" t="n"/>
      <c r="L11" s="54" t="n"/>
      <c r="M11" s="55" t="n"/>
      <c r="N11" s="59" t="n"/>
      <c r="O11" s="60" t="n"/>
      <c r="P11" s="59" t="n"/>
      <c r="Q11" s="60" t="n"/>
      <c r="R11" s="59" t="n"/>
      <c r="S11" s="60" t="n"/>
      <c r="T11" s="59" t="n"/>
      <c r="U11" s="60" t="n"/>
      <c r="V11" s="59" t="n"/>
      <c r="W11" s="60" t="n"/>
      <c r="X11" s="54" t="n"/>
      <c r="Y11" s="55" t="n"/>
      <c r="Z11" s="54" t="n"/>
      <c r="AA11" s="55" t="n"/>
      <c r="AB11" s="59" t="n"/>
      <c r="AC11" s="60" t="n"/>
      <c r="AD11" s="59" t="n"/>
      <c r="AE11" s="60" t="n"/>
      <c r="AF11" s="59" t="n"/>
      <c r="AG11" s="60" t="n"/>
      <c r="AH11" s="59" t="n"/>
      <c r="AI11" s="60" t="n"/>
      <c r="AJ11" s="59" t="n"/>
      <c r="AK11" s="60" t="n"/>
      <c r="AL11" s="54" t="n"/>
      <c r="AM11" s="55" t="n"/>
      <c r="AN11" s="54" t="n"/>
      <c r="AO11" s="55" t="n"/>
      <c r="AP11" s="59" t="n"/>
      <c r="AQ11" s="60" t="n"/>
      <c r="AR11" s="59" t="n"/>
      <c r="AS11" s="60" t="n"/>
      <c r="AT11" s="59" t="n"/>
      <c r="AU11" s="60" t="n"/>
      <c r="AV11" s="59" t="n"/>
      <c r="AW11" s="60" t="n"/>
      <c r="AX11" s="59" t="n"/>
      <c r="AY11" s="60" t="n"/>
      <c r="AZ11" s="54" t="n"/>
      <c r="BA11" s="55" t="n"/>
      <c r="BB11" s="54" t="n"/>
      <c r="BC11" s="55" t="n"/>
      <c r="BD11" s="59" t="n"/>
      <c r="BE11" s="60" t="n"/>
      <c r="BF11" s="59" t="n"/>
      <c r="BG11" s="60" t="n"/>
      <c r="BH11" s="59" t="n"/>
      <c r="BI11" s="60" t="n"/>
      <c r="BJ11" s="59" t="n"/>
      <c r="BK11" s="60" t="n"/>
      <c r="BL11" s="56">
        <f>IF($A11="","",COUNTIF(D11:BK11,"+"))</f>
        <v/>
      </c>
      <c r="BM11" s="57">
        <f>IF($A11="","",COUNTIF(D11:BK11,"x"))</f>
        <v/>
      </c>
      <c r="BN11" s="57">
        <f>IF($A11="","",COUNTIF(D11:BK11,"-"))</f>
        <v/>
      </c>
      <c r="BO11" s="58">
        <f>IF($A11="","",BL11+BM11*0.5)</f>
        <v/>
      </c>
      <c r="BP11" s="58">
        <f>IF($A11="","",SUM(E11,G11,I11,K11,M11,O11,Q11,S11,U11,W11,Y11,AA11,AC11,AE11,AG11,AI11,AK11,AM11,AO11,AQ11,AS11,AU11,AW11,AY11,BA11,BC11,BE11,BG11,BI11,BK11))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n"/>
      <c r="E12" s="53" t="n"/>
      <c r="F12" s="52" t="n"/>
      <c r="G12" s="53" t="n"/>
      <c r="H12" s="52" t="n"/>
      <c r="I12" s="53" t="n"/>
      <c r="J12" s="54" t="n"/>
      <c r="K12" s="55" t="n"/>
      <c r="L12" s="54" t="n"/>
      <c r="M12" s="55" t="n"/>
      <c r="N12" s="52" t="n"/>
      <c r="O12" s="53" t="n"/>
      <c r="P12" s="52" t="n"/>
      <c r="Q12" s="53" t="n"/>
      <c r="R12" s="52" t="n"/>
      <c r="S12" s="53" t="n"/>
      <c r="T12" s="52" t="n"/>
      <c r="U12" s="53" t="n"/>
      <c r="V12" s="52" t="n"/>
      <c r="W12" s="53" t="n"/>
      <c r="X12" s="54" t="n"/>
      <c r="Y12" s="55" t="n"/>
      <c r="Z12" s="54" t="n"/>
      <c r="AA12" s="55" t="n"/>
      <c r="AB12" s="52" t="n"/>
      <c r="AC12" s="53" t="n"/>
      <c r="AD12" s="52" t="n"/>
      <c r="AE12" s="53" t="n"/>
      <c r="AF12" s="52" t="n"/>
      <c r="AG12" s="53" t="n"/>
      <c r="AH12" s="52" t="n"/>
      <c r="AI12" s="53" t="n"/>
      <c r="AJ12" s="52" t="n"/>
      <c r="AK12" s="53" t="n"/>
      <c r="AL12" s="54" t="n"/>
      <c r="AM12" s="55" t="n"/>
      <c r="AN12" s="54" t="n"/>
      <c r="AO12" s="55" t="n"/>
      <c r="AP12" s="52" t="n"/>
      <c r="AQ12" s="53" t="n"/>
      <c r="AR12" s="52" t="n"/>
      <c r="AS12" s="53" t="n"/>
      <c r="AT12" s="52" t="n"/>
      <c r="AU12" s="53" t="n"/>
      <c r="AV12" s="52" t="n"/>
      <c r="AW12" s="53" t="n"/>
      <c r="AX12" s="52" t="n"/>
      <c r="AY12" s="53" t="n"/>
      <c r="AZ12" s="54" t="n"/>
      <c r="BA12" s="55" t="n"/>
      <c r="BB12" s="54" t="n"/>
      <c r="BC12" s="55" t="n"/>
      <c r="BD12" s="52" t="n"/>
      <c r="BE12" s="53" t="n"/>
      <c r="BF12" s="52" t="n"/>
      <c r="BG12" s="53" t="n"/>
      <c r="BH12" s="52" t="n"/>
      <c r="BI12" s="53" t="n"/>
      <c r="BJ12" s="52" t="n"/>
      <c r="BK12" s="53" t="n"/>
      <c r="BL12" s="56">
        <f>IF($A12="","",COUNTIF(D12:BK12,"+"))</f>
        <v/>
      </c>
      <c r="BM12" s="57">
        <f>IF($A12="","",COUNTIF(D12:BK12,"x"))</f>
        <v/>
      </c>
      <c r="BN12" s="57">
        <f>IF($A12="","",COUNTIF(D12:BK12,"-"))</f>
        <v/>
      </c>
      <c r="BO12" s="58">
        <f>IF($A12="","",BL12+BM12*0.5)</f>
        <v/>
      </c>
      <c r="BP12" s="58">
        <f>IF($A12="","",SUM(E12,G12,I12,K12,M12,O12,Q12,S12,U12,W12,Y12,AA12,AC12,AE12,AG12,AI12,AK12,AM12,AO12,AQ12,AS12,AU12,AW12,AY12,BA12,BC12,BE12,BG12,BI12,BK12))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9" t="n"/>
      <c r="G13" s="60" t="n"/>
      <c r="H13" s="59" t="n"/>
      <c r="I13" s="60" t="n"/>
      <c r="J13" s="54" t="n"/>
      <c r="K13" s="55" t="n"/>
      <c r="L13" s="54" t="n"/>
      <c r="M13" s="55" t="n"/>
      <c r="N13" s="59" t="n"/>
      <c r="O13" s="60" t="n"/>
      <c r="P13" s="59" t="n"/>
      <c r="Q13" s="60" t="n"/>
      <c r="R13" s="59" t="n"/>
      <c r="S13" s="60" t="n"/>
      <c r="T13" s="59" t="n"/>
      <c r="U13" s="60" t="n"/>
      <c r="V13" s="59" t="n"/>
      <c r="W13" s="60" t="n"/>
      <c r="X13" s="54" t="n"/>
      <c r="Y13" s="55" t="n"/>
      <c r="Z13" s="54" t="n"/>
      <c r="AA13" s="55" t="n"/>
      <c r="AB13" s="59" t="n"/>
      <c r="AC13" s="60" t="n"/>
      <c r="AD13" s="59" t="n"/>
      <c r="AE13" s="60" t="n"/>
      <c r="AF13" s="59" t="n"/>
      <c r="AG13" s="60" t="n"/>
      <c r="AH13" s="59" t="n"/>
      <c r="AI13" s="60" t="n"/>
      <c r="AJ13" s="59" t="n"/>
      <c r="AK13" s="60" t="n"/>
      <c r="AL13" s="54" t="n"/>
      <c r="AM13" s="55" t="n"/>
      <c r="AN13" s="54" t="n"/>
      <c r="AO13" s="55" t="n"/>
      <c r="AP13" s="59" t="n"/>
      <c r="AQ13" s="60" t="n"/>
      <c r="AR13" s="59" t="n"/>
      <c r="AS13" s="60" t="n"/>
      <c r="AT13" s="59" t="n"/>
      <c r="AU13" s="60" t="n"/>
      <c r="AV13" s="59" t="n"/>
      <c r="AW13" s="60" t="n"/>
      <c r="AX13" s="59" t="n"/>
      <c r="AY13" s="60" t="n"/>
      <c r="AZ13" s="54" t="n"/>
      <c r="BA13" s="55" t="n"/>
      <c r="BB13" s="54" t="n"/>
      <c r="BC13" s="55" t="n"/>
      <c r="BD13" s="59" t="n"/>
      <c r="BE13" s="60" t="n"/>
      <c r="BF13" s="59" t="n"/>
      <c r="BG13" s="60" t="n"/>
      <c r="BH13" s="59" t="n"/>
      <c r="BI13" s="60" t="n"/>
      <c r="BJ13" s="59" t="n"/>
      <c r="BK13" s="60" t="n"/>
      <c r="BL13" s="56">
        <f>IF($A13="","",COUNTIF(D13:BK13,"+"))</f>
        <v/>
      </c>
      <c r="BM13" s="57">
        <f>IF($A13="","",COUNTIF(D13:BK13,"x"))</f>
        <v/>
      </c>
      <c r="BN13" s="57">
        <f>IF($A13="","",COUNTIF(D13:BK13,"-"))</f>
        <v/>
      </c>
      <c r="BO13" s="58">
        <f>IF($A13="","",BL13+BM13*0.5)</f>
        <v/>
      </c>
      <c r="BP13" s="58">
        <f>IF($A13="","",SUM(E13,G13,I13,K13,M13,O13,Q13,S13,U13,W13,Y13,AA13,AC13,AE13,AG13,AI13,AK13,AM13,AO13,AQ13,AS13,AU13,AW13,AY13,BA13,BC13,BE13,BG13,BI13,BK13))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2" t="n"/>
      <c r="G14" s="53" t="n"/>
      <c r="H14" s="52" t="n"/>
      <c r="I14" s="53" t="n"/>
      <c r="J14" s="54" t="n"/>
      <c r="K14" s="55" t="n"/>
      <c r="L14" s="54" t="n"/>
      <c r="M14" s="55" t="n"/>
      <c r="N14" s="52" t="n"/>
      <c r="O14" s="53" t="n"/>
      <c r="P14" s="52" t="n"/>
      <c r="Q14" s="53" t="n"/>
      <c r="R14" s="52" t="n"/>
      <c r="S14" s="53" t="n"/>
      <c r="T14" s="52" t="n"/>
      <c r="U14" s="53" t="n"/>
      <c r="V14" s="52" t="n"/>
      <c r="W14" s="53" t="n"/>
      <c r="X14" s="54" t="n"/>
      <c r="Y14" s="55" t="n"/>
      <c r="Z14" s="54" t="n"/>
      <c r="AA14" s="55" t="n"/>
      <c r="AB14" s="52" t="n"/>
      <c r="AC14" s="53" t="n"/>
      <c r="AD14" s="52" t="n"/>
      <c r="AE14" s="53" t="n"/>
      <c r="AF14" s="52" t="n"/>
      <c r="AG14" s="53" t="n"/>
      <c r="AH14" s="52" t="n"/>
      <c r="AI14" s="53" t="n"/>
      <c r="AJ14" s="52" t="n"/>
      <c r="AK14" s="53" t="n"/>
      <c r="AL14" s="54" t="n"/>
      <c r="AM14" s="55" t="n"/>
      <c r="AN14" s="54" t="n"/>
      <c r="AO14" s="55" t="n"/>
      <c r="AP14" s="52" t="n"/>
      <c r="AQ14" s="53" t="n"/>
      <c r="AR14" s="52" t="n"/>
      <c r="AS14" s="53" t="n"/>
      <c r="AT14" s="52" t="n"/>
      <c r="AU14" s="53" t="n"/>
      <c r="AV14" s="52" t="n"/>
      <c r="AW14" s="53" t="n"/>
      <c r="AX14" s="52" t="n"/>
      <c r="AY14" s="53" t="n"/>
      <c r="AZ14" s="54" t="n"/>
      <c r="BA14" s="55" t="n"/>
      <c r="BB14" s="54" t="n"/>
      <c r="BC14" s="55" t="n"/>
      <c r="BD14" s="52" t="n"/>
      <c r="BE14" s="53" t="n"/>
      <c r="BF14" s="52" t="n"/>
      <c r="BG14" s="53" t="n"/>
      <c r="BH14" s="52" t="n"/>
      <c r="BI14" s="53" t="n"/>
      <c r="BJ14" s="52" t="n"/>
      <c r="BK14" s="53" t="n"/>
      <c r="BL14" s="56">
        <f>IF($A14="","",COUNTIF(D14:BK14,"+"))</f>
        <v/>
      </c>
      <c r="BM14" s="57">
        <f>IF($A14="","",COUNTIF(D14:BK14,"x"))</f>
        <v/>
      </c>
      <c r="BN14" s="57">
        <f>IF($A14="","",COUNTIF(D14:BK14,"-"))</f>
        <v/>
      </c>
      <c r="BO14" s="58">
        <f>IF($A14="","",BL14+BM14*0.5)</f>
        <v/>
      </c>
      <c r="BP14" s="58">
        <f>IF($A14="","",SUM(E14,G14,I14,K14,M14,O14,Q14,S14,U14,W14,Y14,AA14,AC14,AE14,AG14,AI14,AK14,AM14,AO14,AQ14,AS14,AU14,AW14,AY14,BA14,BC14,BE14,BG14,BI14,BK14))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9" t="n"/>
      <c r="G15" s="60" t="n"/>
      <c r="H15" s="59" t="n"/>
      <c r="I15" s="60" t="n"/>
      <c r="J15" s="54" t="n"/>
      <c r="K15" s="55" t="n"/>
      <c r="L15" s="54" t="n"/>
      <c r="M15" s="55" t="n"/>
      <c r="N15" s="59" t="n"/>
      <c r="O15" s="60" t="n"/>
      <c r="P15" s="59" t="n"/>
      <c r="Q15" s="60" t="n"/>
      <c r="R15" s="59" t="n"/>
      <c r="S15" s="60" t="n"/>
      <c r="T15" s="59" t="n"/>
      <c r="U15" s="60" t="n"/>
      <c r="V15" s="59" t="n"/>
      <c r="W15" s="60" t="n"/>
      <c r="X15" s="54" t="n"/>
      <c r="Y15" s="55" t="n"/>
      <c r="Z15" s="54" t="n"/>
      <c r="AA15" s="55" t="n"/>
      <c r="AB15" s="59" t="n"/>
      <c r="AC15" s="60" t="n"/>
      <c r="AD15" s="59" t="n"/>
      <c r="AE15" s="60" t="n"/>
      <c r="AF15" s="59" t="n"/>
      <c r="AG15" s="60" t="n"/>
      <c r="AH15" s="59" t="n"/>
      <c r="AI15" s="60" t="n"/>
      <c r="AJ15" s="59" t="n"/>
      <c r="AK15" s="60" t="n"/>
      <c r="AL15" s="54" t="n"/>
      <c r="AM15" s="55" t="n"/>
      <c r="AN15" s="54" t="n"/>
      <c r="AO15" s="55" t="n"/>
      <c r="AP15" s="59" t="n"/>
      <c r="AQ15" s="60" t="n"/>
      <c r="AR15" s="59" t="n"/>
      <c r="AS15" s="60" t="n"/>
      <c r="AT15" s="59" t="n"/>
      <c r="AU15" s="60" t="n"/>
      <c r="AV15" s="59" t="n"/>
      <c r="AW15" s="60" t="n"/>
      <c r="AX15" s="59" t="n"/>
      <c r="AY15" s="60" t="n"/>
      <c r="AZ15" s="54" t="n"/>
      <c r="BA15" s="55" t="n"/>
      <c r="BB15" s="54" t="n"/>
      <c r="BC15" s="55" t="n"/>
      <c r="BD15" s="59" t="n"/>
      <c r="BE15" s="60" t="n"/>
      <c r="BF15" s="59" t="n"/>
      <c r="BG15" s="60" t="n"/>
      <c r="BH15" s="59" t="n"/>
      <c r="BI15" s="60" t="n"/>
      <c r="BJ15" s="59" t="n"/>
      <c r="BK15" s="60" t="n"/>
      <c r="BL15" s="56">
        <f>IF($A15="","",COUNTIF(D15:BK15,"+"))</f>
        <v/>
      </c>
      <c r="BM15" s="57">
        <f>IF($A15="","",COUNTIF(D15:BK15,"x"))</f>
        <v/>
      </c>
      <c r="BN15" s="57">
        <f>IF($A15="","",COUNTIF(D15:BK15,"-"))</f>
        <v/>
      </c>
      <c r="BO15" s="58">
        <f>IF($A15="","",BL15+BM15*0.5)</f>
        <v/>
      </c>
      <c r="BP15" s="58">
        <f>IF($A15="","",SUM(E15,G15,I15,K15,M15,O15,Q15,S15,U15,W15,Y15,AA15,AC15,AE15,AG15,AI15,AK15,AM15,AO15,AQ15,AS15,AU15,AW15,AY15,BA15,BC15,BE15,BG15,BI15,BK15))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2" t="n"/>
      <c r="G16" s="53" t="n"/>
      <c r="H16" s="52" t="n"/>
      <c r="I16" s="53" t="n"/>
      <c r="J16" s="54" t="n"/>
      <c r="K16" s="55" t="n"/>
      <c r="L16" s="54" t="n"/>
      <c r="M16" s="55" t="n"/>
      <c r="N16" s="52" t="n"/>
      <c r="O16" s="53" t="n"/>
      <c r="P16" s="52" t="n"/>
      <c r="Q16" s="53" t="n"/>
      <c r="R16" s="52" t="n"/>
      <c r="S16" s="53" t="n"/>
      <c r="T16" s="52" t="n"/>
      <c r="U16" s="53" t="n"/>
      <c r="V16" s="52" t="n"/>
      <c r="W16" s="53" t="n"/>
      <c r="X16" s="54" t="n"/>
      <c r="Y16" s="55" t="n"/>
      <c r="Z16" s="54" t="n"/>
      <c r="AA16" s="55" t="n"/>
      <c r="AB16" s="52" t="n"/>
      <c r="AC16" s="53" t="n"/>
      <c r="AD16" s="52" t="n"/>
      <c r="AE16" s="53" t="n"/>
      <c r="AF16" s="52" t="n"/>
      <c r="AG16" s="53" t="n"/>
      <c r="AH16" s="52" t="n"/>
      <c r="AI16" s="53" t="n"/>
      <c r="AJ16" s="52" t="n"/>
      <c r="AK16" s="53" t="n"/>
      <c r="AL16" s="54" t="n"/>
      <c r="AM16" s="55" t="n"/>
      <c r="AN16" s="54" t="n"/>
      <c r="AO16" s="55" t="n"/>
      <c r="AP16" s="52" t="n"/>
      <c r="AQ16" s="53" t="n"/>
      <c r="AR16" s="52" t="n"/>
      <c r="AS16" s="53" t="n"/>
      <c r="AT16" s="52" t="n"/>
      <c r="AU16" s="53" t="n"/>
      <c r="AV16" s="52" t="n"/>
      <c r="AW16" s="53" t="n"/>
      <c r="AX16" s="52" t="n"/>
      <c r="AY16" s="53" t="n"/>
      <c r="AZ16" s="54" t="n"/>
      <c r="BA16" s="55" t="n"/>
      <c r="BB16" s="54" t="n"/>
      <c r="BC16" s="55" t="n"/>
      <c r="BD16" s="52" t="n"/>
      <c r="BE16" s="53" t="n"/>
      <c r="BF16" s="52" t="n"/>
      <c r="BG16" s="53" t="n"/>
      <c r="BH16" s="52" t="n"/>
      <c r="BI16" s="53" t="n"/>
      <c r="BJ16" s="52" t="n"/>
      <c r="BK16" s="53" t="n"/>
      <c r="BL16" s="56">
        <f>IF($A16="","",COUNTIF(D16:BK16,"+"))</f>
        <v/>
      </c>
      <c r="BM16" s="57">
        <f>IF($A16="","",COUNTIF(D16:BK16,"x"))</f>
        <v/>
      </c>
      <c r="BN16" s="57">
        <f>IF($A16="","",COUNTIF(D16:BK16,"-"))</f>
        <v/>
      </c>
      <c r="BO16" s="58">
        <f>IF($A16="","",BL16+BM16*0.5)</f>
        <v/>
      </c>
      <c r="BP16" s="58">
        <f>IF($A16="","",SUM(E16,G16,I16,K16,M16,O16,Q16,S16,U16,W16,Y16,AA16,AC16,AE16,AG16,AI16,AK16,AM16,AO16,AQ16,AS16,AU16,AW16,AY16,BA16,BC16,BE16,BG16,BI16,BK16))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9" t="n"/>
      <c r="G17" s="60" t="n"/>
      <c r="H17" s="59" t="n"/>
      <c r="I17" s="60" t="n"/>
      <c r="J17" s="54" t="n"/>
      <c r="K17" s="55" t="n"/>
      <c r="L17" s="54" t="n"/>
      <c r="M17" s="55" t="n"/>
      <c r="N17" s="59" t="n"/>
      <c r="O17" s="60" t="n"/>
      <c r="P17" s="59" t="n"/>
      <c r="Q17" s="60" t="n"/>
      <c r="R17" s="59" t="n"/>
      <c r="S17" s="60" t="n"/>
      <c r="T17" s="59" t="n"/>
      <c r="U17" s="60" t="n"/>
      <c r="V17" s="59" t="n"/>
      <c r="W17" s="60" t="n"/>
      <c r="X17" s="54" t="n"/>
      <c r="Y17" s="55" t="n"/>
      <c r="Z17" s="54" t="n"/>
      <c r="AA17" s="55" t="n"/>
      <c r="AB17" s="59" t="n"/>
      <c r="AC17" s="60" t="n"/>
      <c r="AD17" s="59" t="n"/>
      <c r="AE17" s="60" t="n"/>
      <c r="AF17" s="59" t="n"/>
      <c r="AG17" s="60" t="n"/>
      <c r="AH17" s="59" t="n"/>
      <c r="AI17" s="60" t="n"/>
      <c r="AJ17" s="59" t="n"/>
      <c r="AK17" s="60" t="n"/>
      <c r="AL17" s="54" t="n"/>
      <c r="AM17" s="55" t="n"/>
      <c r="AN17" s="54" t="n"/>
      <c r="AO17" s="55" t="n"/>
      <c r="AP17" s="59" t="n"/>
      <c r="AQ17" s="60" t="n"/>
      <c r="AR17" s="59" t="n"/>
      <c r="AS17" s="60" t="n"/>
      <c r="AT17" s="59" t="n"/>
      <c r="AU17" s="60" t="n"/>
      <c r="AV17" s="59" t="n"/>
      <c r="AW17" s="60" t="n"/>
      <c r="AX17" s="59" t="n"/>
      <c r="AY17" s="60" t="n"/>
      <c r="AZ17" s="54" t="n"/>
      <c r="BA17" s="55" t="n"/>
      <c r="BB17" s="54" t="n"/>
      <c r="BC17" s="55" t="n"/>
      <c r="BD17" s="59" t="n"/>
      <c r="BE17" s="60" t="n"/>
      <c r="BF17" s="59" t="n"/>
      <c r="BG17" s="60" t="n"/>
      <c r="BH17" s="59" t="n"/>
      <c r="BI17" s="60" t="n"/>
      <c r="BJ17" s="59" t="n"/>
      <c r="BK17" s="60" t="n"/>
      <c r="BL17" s="56">
        <f>IF($A17="","",COUNTIF(D17:BK17,"+"))</f>
        <v/>
      </c>
      <c r="BM17" s="57">
        <f>IF($A17="","",COUNTIF(D17:BK17,"x"))</f>
        <v/>
      </c>
      <c r="BN17" s="57">
        <f>IF($A17="","",COUNTIF(D17:BK17,"-"))</f>
        <v/>
      </c>
      <c r="BO17" s="58">
        <f>IF($A17="","",BL17+BM17*0.5)</f>
        <v/>
      </c>
      <c r="BP17" s="58">
        <f>IF($A17="","",SUM(E17,G17,I17,K17,M17,O17,Q17,S17,U17,W17,Y17,AA17,AC17,AE17,AG17,AI17,AK17,AM17,AO17,AQ17,AS17,AU17,AW17,AY17,BA17,BC17,BE17,BG17,BI17,BK17))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2" t="n"/>
      <c r="G18" s="53" t="n"/>
      <c r="H18" s="52" t="n"/>
      <c r="I18" s="53" t="n"/>
      <c r="J18" s="54" t="n"/>
      <c r="K18" s="55" t="n"/>
      <c r="L18" s="54" t="n"/>
      <c r="M18" s="55" t="n"/>
      <c r="N18" s="52" t="n"/>
      <c r="O18" s="53" t="n"/>
      <c r="P18" s="52" t="n"/>
      <c r="Q18" s="53" t="n"/>
      <c r="R18" s="52" t="n"/>
      <c r="S18" s="53" t="n"/>
      <c r="T18" s="52" t="n"/>
      <c r="U18" s="53" t="n"/>
      <c r="V18" s="52" t="n"/>
      <c r="W18" s="53" t="n"/>
      <c r="X18" s="54" t="n"/>
      <c r="Y18" s="55" t="n"/>
      <c r="Z18" s="54" t="n"/>
      <c r="AA18" s="55" t="n"/>
      <c r="AB18" s="52" t="n"/>
      <c r="AC18" s="53" t="n"/>
      <c r="AD18" s="52" t="n"/>
      <c r="AE18" s="53" t="n"/>
      <c r="AF18" s="52" t="n"/>
      <c r="AG18" s="53" t="n"/>
      <c r="AH18" s="52" t="n"/>
      <c r="AI18" s="53" t="n"/>
      <c r="AJ18" s="52" t="n"/>
      <c r="AK18" s="53" t="n"/>
      <c r="AL18" s="54" t="n"/>
      <c r="AM18" s="55" t="n"/>
      <c r="AN18" s="54" t="n"/>
      <c r="AO18" s="55" t="n"/>
      <c r="AP18" s="52" t="n"/>
      <c r="AQ18" s="53" t="n"/>
      <c r="AR18" s="52" t="n"/>
      <c r="AS18" s="53" t="n"/>
      <c r="AT18" s="52" t="n"/>
      <c r="AU18" s="53" t="n"/>
      <c r="AV18" s="52" t="n"/>
      <c r="AW18" s="53" t="n"/>
      <c r="AX18" s="52" t="n"/>
      <c r="AY18" s="53" t="n"/>
      <c r="AZ18" s="54" t="n"/>
      <c r="BA18" s="55" t="n"/>
      <c r="BB18" s="54" t="n"/>
      <c r="BC18" s="55" t="n"/>
      <c r="BD18" s="52" t="n"/>
      <c r="BE18" s="53" t="n"/>
      <c r="BF18" s="52" t="n"/>
      <c r="BG18" s="53" t="n"/>
      <c r="BH18" s="52" t="n"/>
      <c r="BI18" s="53" t="n"/>
      <c r="BJ18" s="52" t="n"/>
      <c r="BK18" s="53" t="n"/>
      <c r="BL18" s="56">
        <f>IF($A18="","",COUNTIF(D18:BK18,"+"))</f>
        <v/>
      </c>
      <c r="BM18" s="57">
        <f>IF($A18="","",COUNTIF(D18:BK18,"x"))</f>
        <v/>
      </c>
      <c r="BN18" s="57">
        <f>IF($A18="","",COUNTIF(D18:BK18,"-"))</f>
        <v/>
      </c>
      <c r="BO18" s="58">
        <f>IF($A18="","",BL18+BM18*0.5)</f>
        <v/>
      </c>
      <c r="BP18" s="58">
        <f>IF($A18="","",SUM(E18,G18,I18,K18,M18,O18,Q18,S18,U18,W18,Y18,AA18,AC18,AE18,AG18,AI18,AK18,AM18,AO18,AQ18,AS18,AU18,AW18,AY18,BA18,BC18,BE18,BG18,BI18,BK18))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9" t="n"/>
      <c r="G19" s="60" t="n"/>
      <c r="H19" s="59" t="n"/>
      <c r="I19" s="60" t="n"/>
      <c r="J19" s="54" t="n"/>
      <c r="K19" s="55" t="n"/>
      <c r="L19" s="54" t="n"/>
      <c r="M19" s="55" t="n"/>
      <c r="N19" s="59" t="n"/>
      <c r="O19" s="60" t="n"/>
      <c r="P19" s="59" t="n"/>
      <c r="Q19" s="60" t="n"/>
      <c r="R19" s="59" t="n"/>
      <c r="S19" s="60" t="n"/>
      <c r="T19" s="59" t="n"/>
      <c r="U19" s="60" t="n"/>
      <c r="V19" s="59" t="n"/>
      <c r="W19" s="60" t="n"/>
      <c r="X19" s="54" t="n"/>
      <c r="Y19" s="55" t="n"/>
      <c r="Z19" s="54" t="n"/>
      <c r="AA19" s="55" t="n"/>
      <c r="AB19" s="59" t="n"/>
      <c r="AC19" s="60" t="n"/>
      <c r="AD19" s="59" t="n"/>
      <c r="AE19" s="60" t="n"/>
      <c r="AF19" s="59" t="n"/>
      <c r="AG19" s="60" t="n"/>
      <c r="AH19" s="59" t="n"/>
      <c r="AI19" s="60" t="n"/>
      <c r="AJ19" s="59" t="n"/>
      <c r="AK19" s="60" t="n"/>
      <c r="AL19" s="54" t="n"/>
      <c r="AM19" s="55" t="n"/>
      <c r="AN19" s="54" t="n"/>
      <c r="AO19" s="55" t="n"/>
      <c r="AP19" s="59" t="n"/>
      <c r="AQ19" s="60" t="n"/>
      <c r="AR19" s="59" t="n"/>
      <c r="AS19" s="60" t="n"/>
      <c r="AT19" s="59" t="n"/>
      <c r="AU19" s="60" t="n"/>
      <c r="AV19" s="59" t="n"/>
      <c r="AW19" s="60" t="n"/>
      <c r="AX19" s="59" t="n"/>
      <c r="AY19" s="60" t="n"/>
      <c r="AZ19" s="54" t="n"/>
      <c r="BA19" s="55" t="n"/>
      <c r="BB19" s="54" t="n"/>
      <c r="BC19" s="55" t="n"/>
      <c r="BD19" s="59" t="n"/>
      <c r="BE19" s="60" t="n"/>
      <c r="BF19" s="59" t="n"/>
      <c r="BG19" s="60" t="n"/>
      <c r="BH19" s="59" t="n"/>
      <c r="BI19" s="60" t="n"/>
      <c r="BJ19" s="59" t="n"/>
      <c r="BK19" s="60" t="n"/>
      <c r="BL19" s="56">
        <f>IF($A19="","",COUNTIF(D19:BK19,"+"))</f>
        <v/>
      </c>
      <c r="BM19" s="57">
        <f>IF($A19="","",COUNTIF(D19:BK19,"x"))</f>
        <v/>
      </c>
      <c r="BN19" s="57">
        <f>IF($A19="","",COUNTIF(D19:BK19,"-"))</f>
        <v/>
      </c>
      <c r="BO19" s="58">
        <f>IF($A19="","",BL19+BM19*0.5)</f>
        <v/>
      </c>
      <c r="BP19" s="58">
        <f>IF($A19="","",SUM(E19,G19,I19,K19,M19,O19,Q19,S19,U19,W19,Y19,AA19,AC19,AE19,AG19,AI19,AK19,AM19,AO19,AQ19,AS19,AU19,AW19,AY19,BA19,BC19,BE19,BG19,BI19,BK19))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2" t="n"/>
      <c r="G20" s="53" t="n"/>
      <c r="H20" s="52" t="n"/>
      <c r="I20" s="53" t="n"/>
      <c r="J20" s="54" t="n"/>
      <c r="K20" s="55" t="n"/>
      <c r="L20" s="54" t="n"/>
      <c r="M20" s="55" t="n"/>
      <c r="N20" s="52" t="n"/>
      <c r="O20" s="53" t="n"/>
      <c r="P20" s="52" t="n"/>
      <c r="Q20" s="53" t="n"/>
      <c r="R20" s="52" t="n"/>
      <c r="S20" s="53" t="n"/>
      <c r="T20" s="52" t="n"/>
      <c r="U20" s="53" t="n"/>
      <c r="V20" s="52" t="n"/>
      <c r="W20" s="53" t="n"/>
      <c r="X20" s="54" t="n"/>
      <c r="Y20" s="55" t="n"/>
      <c r="Z20" s="54" t="n"/>
      <c r="AA20" s="55" t="n"/>
      <c r="AB20" s="52" t="n"/>
      <c r="AC20" s="53" t="n"/>
      <c r="AD20" s="52" t="n"/>
      <c r="AE20" s="53" t="n"/>
      <c r="AF20" s="52" t="n"/>
      <c r="AG20" s="53" t="n"/>
      <c r="AH20" s="52" t="n"/>
      <c r="AI20" s="53" t="n"/>
      <c r="AJ20" s="52" t="n"/>
      <c r="AK20" s="53" t="n"/>
      <c r="AL20" s="54" t="n"/>
      <c r="AM20" s="55" t="n"/>
      <c r="AN20" s="54" t="n"/>
      <c r="AO20" s="55" t="n"/>
      <c r="AP20" s="52" t="n"/>
      <c r="AQ20" s="53" t="n"/>
      <c r="AR20" s="52" t="n"/>
      <c r="AS20" s="53" t="n"/>
      <c r="AT20" s="52" t="n"/>
      <c r="AU20" s="53" t="n"/>
      <c r="AV20" s="52" t="n"/>
      <c r="AW20" s="53" t="n"/>
      <c r="AX20" s="52" t="n"/>
      <c r="AY20" s="53" t="n"/>
      <c r="AZ20" s="54" t="n"/>
      <c r="BA20" s="55" t="n"/>
      <c r="BB20" s="54" t="n"/>
      <c r="BC20" s="55" t="n"/>
      <c r="BD20" s="52" t="n"/>
      <c r="BE20" s="53" t="n"/>
      <c r="BF20" s="52" t="n"/>
      <c r="BG20" s="53" t="n"/>
      <c r="BH20" s="52" t="n"/>
      <c r="BI20" s="53" t="n"/>
      <c r="BJ20" s="52" t="n"/>
      <c r="BK20" s="53" t="n"/>
      <c r="BL20" s="56">
        <f>IF($A20="","",COUNTIF(D20:BK20,"+"))</f>
        <v/>
      </c>
      <c r="BM20" s="57">
        <f>IF($A20="","",COUNTIF(D20:BK20,"x"))</f>
        <v/>
      </c>
      <c r="BN20" s="57">
        <f>IF($A20="","",COUNTIF(D20:BK20,"-"))</f>
        <v/>
      </c>
      <c r="BO20" s="58">
        <f>IF($A20="","",BL20+BM20*0.5)</f>
        <v/>
      </c>
      <c r="BP20" s="58">
        <f>IF($A20="","",SUM(E20,G20,I20,K20,M20,O20,Q20,S20,U20,W20,Y20,AA20,AC20,AE20,AG20,AI20,AK20,AM20,AO20,AQ20,AS20,AU20,AW20,AY20,BA20,BC20,BE20,BG20,BI20,BK20))</f>
        <v/>
      </c>
    </row>
  </sheetData>
  <mergeCells count="43">
    <mergeCell ref="F4:G4"/>
    <mergeCell ref="P4:Q4"/>
    <mergeCell ref="AX4:AY4"/>
    <mergeCell ref="BH4:BI4"/>
    <mergeCell ref="C4:C5"/>
    <mergeCell ref="BJ4:BK4"/>
    <mergeCell ref="BP4:BP5"/>
    <mergeCell ref="H4:I4"/>
    <mergeCell ref="R4:S4"/>
    <mergeCell ref="A2:C2"/>
    <mergeCell ref="AB4:AC4"/>
    <mergeCell ref="T4:U4"/>
    <mergeCell ref="AF4:AG4"/>
    <mergeCell ref="V4:W4"/>
    <mergeCell ref="AH4:AI4"/>
    <mergeCell ref="AN4:AO4"/>
    <mergeCell ref="BL4:BL5"/>
    <mergeCell ref="BN4:BN5"/>
    <mergeCell ref="I2:L2"/>
    <mergeCell ref="AR4:AS4"/>
    <mergeCell ref="AV4:AW4"/>
    <mergeCell ref="AT4:AU4"/>
    <mergeCell ref="AZ4:BA4"/>
    <mergeCell ref="J4:K4"/>
    <mergeCell ref="A1:BP1"/>
    <mergeCell ref="BB4:BC4"/>
    <mergeCell ref="L4:M4"/>
    <mergeCell ref="BD4:BE4"/>
    <mergeCell ref="BF4:BG4"/>
    <mergeCell ref="A4:A5"/>
    <mergeCell ref="D4:E4"/>
    <mergeCell ref="BM4:BM5"/>
    <mergeCell ref="N2:Q2"/>
    <mergeCell ref="D2:G2"/>
    <mergeCell ref="BO4:BO5"/>
    <mergeCell ref="X4:Y4"/>
    <mergeCell ref="AJ4:AK4"/>
    <mergeCell ref="Z4:AA4"/>
    <mergeCell ref="B4:B5"/>
    <mergeCell ref="AL4:AM4"/>
    <mergeCell ref="AD4:AE4"/>
    <mergeCell ref="AP4:AQ4"/>
    <mergeCell ref="N4:O4"/>
  </mergeCells>
  <conditionalFormatting sqref="D6:BK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R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4.6" customWidth="1" min="64" max="64"/>
    <col width="5.8" customWidth="1" min="65" max="65"/>
    <col width="9" customWidth="1" min="66" max="66"/>
    <col width="9" customWidth="1" min="67" max="67"/>
    <col width="9" customWidth="1" min="68" max="68"/>
    <col width="11" customWidth="1" min="69" max="69"/>
    <col width="11" customWidth="1" min="70" max="70"/>
  </cols>
  <sheetData>
    <row r="1" ht="32" customHeight="1">
      <c r="A1" s="1" t="inlineStr">
        <is>
          <t>MAYIS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 ht="20" customHeight="1">
      <c r="A2" s="25" t="inlineStr">
        <is>
          <t>Takvim gün sayısı: 31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Cum</t>
        </is>
      </c>
      <c r="E4" s="23" t="n"/>
      <c r="F4" s="49" t="inlineStr">
        <is>
          <t>2
Cmt</t>
        </is>
      </c>
      <c r="G4" s="49" t="n"/>
      <c r="H4" s="49" t="inlineStr">
        <is>
          <t>3
Paz</t>
        </is>
      </c>
      <c r="I4" s="49" t="n"/>
      <c r="J4" s="23" t="inlineStr">
        <is>
          <t>4
Pzt</t>
        </is>
      </c>
      <c r="K4" s="23" t="n"/>
      <c r="L4" s="23" t="inlineStr">
        <is>
          <t>5
Sal</t>
        </is>
      </c>
      <c r="M4" s="23" t="n"/>
      <c r="N4" s="23" t="inlineStr">
        <is>
          <t>6
Çar</t>
        </is>
      </c>
      <c r="O4" s="23" t="n"/>
      <c r="P4" s="23" t="inlineStr">
        <is>
          <t>7
Per</t>
        </is>
      </c>
      <c r="Q4" s="23" t="n"/>
      <c r="R4" s="23" t="inlineStr">
        <is>
          <t>8
Cum</t>
        </is>
      </c>
      <c r="S4" s="23" t="n"/>
      <c r="T4" s="49" t="inlineStr">
        <is>
          <t>9
Cmt</t>
        </is>
      </c>
      <c r="U4" s="49" t="n"/>
      <c r="V4" s="49" t="inlineStr">
        <is>
          <t>10
Paz</t>
        </is>
      </c>
      <c r="W4" s="49" t="n"/>
      <c r="X4" s="23" t="inlineStr">
        <is>
          <t>11
Pzt</t>
        </is>
      </c>
      <c r="Y4" s="23" t="n"/>
      <c r="Z4" s="23" t="inlineStr">
        <is>
          <t>12
Sal</t>
        </is>
      </c>
      <c r="AA4" s="23" t="n"/>
      <c r="AB4" s="23" t="inlineStr">
        <is>
          <t>13
Çar</t>
        </is>
      </c>
      <c r="AC4" s="23" t="n"/>
      <c r="AD4" s="23" t="inlineStr">
        <is>
          <t>14
Per</t>
        </is>
      </c>
      <c r="AE4" s="23" t="n"/>
      <c r="AF4" s="23" t="inlineStr">
        <is>
          <t>15
Cum</t>
        </is>
      </c>
      <c r="AG4" s="23" t="n"/>
      <c r="AH4" s="49" t="inlineStr">
        <is>
          <t>16
Cmt</t>
        </is>
      </c>
      <c r="AI4" s="49" t="n"/>
      <c r="AJ4" s="49" t="inlineStr">
        <is>
          <t>17
Paz</t>
        </is>
      </c>
      <c r="AK4" s="49" t="n"/>
      <c r="AL4" s="23" t="inlineStr">
        <is>
          <t>18
Pzt</t>
        </is>
      </c>
      <c r="AM4" s="23" t="n"/>
      <c r="AN4" s="23" t="inlineStr">
        <is>
          <t>19
Sal</t>
        </is>
      </c>
      <c r="AO4" s="23" t="n"/>
      <c r="AP4" s="23" t="inlineStr">
        <is>
          <t>20
Çar</t>
        </is>
      </c>
      <c r="AQ4" s="23" t="n"/>
      <c r="AR4" s="23" t="inlineStr">
        <is>
          <t>21
Per</t>
        </is>
      </c>
      <c r="AS4" s="23" t="n"/>
      <c r="AT4" s="23" t="inlineStr">
        <is>
          <t>22
Cum</t>
        </is>
      </c>
      <c r="AU4" s="23" t="n"/>
      <c r="AV4" s="49" t="inlineStr">
        <is>
          <t>23
Cmt</t>
        </is>
      </c>
      <c r="AW4" s="49" t="n"/>
      <c r="AX4" s="49" t="inlineStr">
        <is>
          <t>24
Paz</t>
        </is>
      </c>
      <c r="AY4" s="49" t="n"/>
      <c r="AZ4" s="23" t="inlineStr">
        <is>
          <t>25
Pzt</t>
        </is>
      </c>
      <c r="BA4" s="23" t="n"/>
      <c r="BB4" s="23" t="inlineStr">
        <is>
          <t>26
Sal</t>
        </is>
      </c>
      <c r="BC4" s="23" t="n"/>
      <c r="BD4" s="23" t="inlineStr">
        <is>
          <t>27
Çar</t>
        </is>
      </c>
      <c r="BE4" s="23" t="n"/>
      <c r="BF4" s="23" t="inlineStr">
        <is>
          <t>28
Per</t>
        </is>
      </c>
      <c r="BG4" s="23" t="n"/>
      <c r="BH4" s="23" t="inlineStr">
        <is>
          <t>29
Cum</t>
        </is>
      </c>
      <c r="BI4" s="23" t="n"/>
      <c r="BJ4" s="49" t="inlineStr">
        <is>
          <t>30
Cmt</t>
        </is>
      </c>
      <c r="BK4" s="49" t="n"/>
      <c r="BL4" s="49" t="inlineStr">
        <is>
          <t>31
Paz</t>
        </is>
      </c>
      <c r="BM4" s="49" t="n"/>
      <c r="BN4" s="50" t="inlineStr">
        <is>
          <t>Tam Gün
(+)</t>
        </is>
      </c>
      <c r="BO4" s="10" t="inlineStr">
        <is>
          <t>Yarım Gün
(x)</t>
        </is>
      </c>
      <c r="BP4" s="10" t="inlineStr">
        <is>
          <t>Gelmediği
Gün (-)</t>
        </is>
      </c>
      <c r="BQ4" s="10" t="inlineStr">
        <is>
          <t>Fiili
Çalışılan Gün</t>
        </is>
      </c>
      <c r="BR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1" t="inlineStr">
        <is>
          <t>Drm</t>
        </is>
      </c>
      <c r="BM5" s="51" t="inlineStr">
        <is>
          <t>Mesai</t>
        </is>
      </c>
      <c r="BN5" s="50" t="n"/>
      <c r="BO5" s="10" t="n"/>
      <c r="BP5" s="10" t="n"/>
      <c r="BQ5" s="10" t="n"/>
      <c r="BR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n"/>
      <c r="E6" s="53" t="n"/>
      <c r="F6" s="54" t="n"/>
      <c r="G6" s="55" t="n"/>
      <c r="H6" s="54" t="n"/>
      <c r="I6" s="55" t="n"/>
      <c r="J6" s="52" t="n"/>
      <c r="K6" s="53" t="n"/>
      <c r="L6" s="52" t="n"/>
      <c r="M6" s="53" t="n"/>
      <c r="N6" s="52" t="n"/>
      <c r="O6" s="53" t="n"/>
      <c r="P6" s="52" t="n"/>
      <c r="Q6" s="53" t="n"/>
      <c r="R6" s="52" t="n"/>
      <c r="S6" s="53" t="n"/>
      <c r="T6" s="54" t="n"/>
      <c r="U6" s="55" t="n"/>
      <c r="V6" s="54" t="n"/>
      <c r="W6" s="55" t="n"/>
      <c r="X6" s="52" t="n"/>
      <c r="Y6" s="53" t="n"/>
      <c r="Z6" s="52" t="n"/>
      <c r="AA6" s="53" t="n"/>
      <c r="AB6" s="52" t="n"/>
      <c r="AC6" s="53" t="n"/>
      <c r="AD6" s="52" t="n"/>
      <c r="AE6" s="53" t="n"/>
      <c r="AF6" s="52" t="n"/>
      <c r="AG6" s="53" t="n"/>
      <c r="AH6" s="54" t="n"/>
      <c r="AI6" s="55" t="n"/>
      <c r="AJ6" s="54" t="n"/>
      <c r="AK6" s="55" t="n"/>
      <c r="AL6" s="52" t="n"/>
      <c r="AM6" s="53" t="n"/>
      <c r="AN6" s="52" t="n"/>
      <c r="AO6" s="53" t="n"/>
      <c r="AP6" s="52" t="n"/>
      <c r="AQ6" s="53" t="n"/>
      <c r="AR6" s="52" t="n"/>
      <c r="AS6" s="53" t="n"/>
      <c r="AT6" s="52" t="n"/>
      <c r="AU6" s="53" t="n"/>
      <c r="AV6" s="54" t="n"/>
      <c r="AW6" s="55" t="n"/>
      <c r="AX6" s="54" t="n"/>
      <c r="AY6" s="55" t="n"/>
      <c r="AZ6" s="52" t="n"/>
      <c r="BA6" s="53" t="n"/>
      <c r="BB6" s="52" t="n"/>
      <c r="BC6" s="53" t="n"/>
      <c r="BD6" s="52" t="n"/>
      <c r="BE6" s="53" t="n"/>
      <c r="BF6" s="52" t="n"/>
      <c r="BG6" s="53" t="n"/>
      <c r="BH6" s="52" t="n"/>
      <c r="BI6" s="53" t="n"/>
      <c r="BJ6" s="54" t="n"/>
      <c r="BK6" s="55" t="n"/>
      <c r="BL6" s="54" t="n"/>
      <c r="BM6" s="55" t="n"/>
      <c r="BN6" s="56">
        <f>IF($A6="","",COUNTIF(D6:BM6,"+"))</f>
        <v/>
      </c>
      <c r="BO6" s="57">
        <f>IF($A6="","",COUNTIF(D6:BM6,"x"))</f>
        <v/>
      </c>
      <c r="BP6" s="57">
        <f>IF($A6="","",COUNTIF(D6:BM6,"-"))</f>
        <v/>
      </c>
      <c r="BQ6" s="58">
        <f>IF($A6="","",BN6+BO6*0.5)</f>
        <v/>
      </c>
      <c r="BR6" s="58">
        <f>IF($A6="","",SUM(E6,G6,I6,K6,M6,O6,Q6,S6,U6,W6,Y6,AA6,AC6,AE6,AG6,AI6,AK6,AM6,AO6,AQ6,AS6,AU6,AW6,AY6,BA6,BC6,BE6,BG6,BI6,BK6,BM6))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n"/>
      <c r="E7" s="60" t="n"/>
      <c r="F7" s="54" t="n"/>
      <c r="G7" s="55" t="n"/>
      <c r="H7" s="54" t="n"/>
      <c r="I7" s="55" t="n"/>
      <c r="J7" s="59" t="n"/>
      <c r="K7" s="60" t="n"/>
      <c r="L7" s="59" t="n"/>
      <c r="M7" s="60" t="n"/>
      <c r="N7" s="59" t="n"/>
      <c r="O7" s="60" t="n"/>
      <c r="P7" s="59" t="n"/>
      <c r="Q7" s="60" t="n"/>
      <c r="R7" s="59" t="n"/>
      <c r="S7" s="60" t="n"/>
      <c r="T7" s="54" t="n"/>
      <c r="U7" s="55" t="n"/>
      <c r="V7" s="54" t="n"/>
      <c r="W7" s="55" t="n"/>
      <c r="X7" s="59" t="n"/>
      <c r="Y7" s="60" t="n"/>
      <c r="Z7" s="59" t="n"/>
      <c r="AA7" s="60" t="n"/>
      <c r="AB7" s="59" t="n"/>
      <c r="AC7" s="60" t="n"/>
      <c r="AD7" s="59" t="n"/>
      <c r="AE7" s="60" t="n"/>
      <c r="AF7" s="59" t="n"/>
      <c r="AG7" s="60" t="n"/>
      <c r="AH7" s="54" t="n"/>
      <c r="AI7" s="55" t="n"/>
      <c r="AJ7" s="54" t="n"/>
      <c r="AK7" s="55" t="n"/>
      <c r="AL7" s="59" t="n"/>
      <c r="AM7" s="60" t="n"/>
      <c r="AN7" s="59" t="n"/>
      <c r="AO7" s="60" t="n"/>
      <c r="AP7" s="59" t="n"/>
      <c r="AQ7" s="60" t="n"/>
      <c r="AR7" s="59" t="n"/>
      <c r="AS7" s="60" t="n"/>
      <c r="AT7" s="59" t="n"/>
      <c r="AU7" s="60" t="n"/>
      <c r="AV7" s="54" t="n"/>
      <c r="AW7" s="55" t="n"/>
      <c r="AX7" s="54" t="n"/>
      <c r="AY7" s="55" t="n"/>
      <c r="AZ7" s="59" t="n"/>
      <c r="BA7" s="60" t="n"/>
      <c r="BB7" s="59" t="n"/>
      <c r="BC7" s="60" t="n"/>
      <c r="BD7" s="59" t="n"/>
      <c r="BE7" s="60" t="n"/>
      <c r="BF7" s="59" t="n"/>
      <c r="BG7" s="60" t="n"/>
      <c r="BH7" s="59" t="n"/>
      <c r="BI7" s="60" t="n"/>
      <c r="BJ7" s="54" t="n"/>
      <c r="BK7" s="55" t="n"/>
      <c r="BL7" s="54" t="n"/>
      <c r="BM7" s="55" t="n"/>
      <c r="BN7" s="56">
        <f>IF($A7="","",COUNTIF(D7:BM7,"+"))</f>
        <v/>
      </c>
      <c r="BO7" s="57">
        <f>IF($A7="","",COUNTIF(D7:BM7,"x"))</f>
        <v/>
      </c>
      <c r="BP7" s="57">
        <f>IF($A7="","",COUNTIF(D7:BM7,"-"))</f>
        <v/>
      </c>
      <c r="BQ7" s="58">
        <f>IF($A7="","",BN7+BO7*0.5)</f>
        <v/>
      </c>
      <c r="BR7" s="58">
        <f>IF($A7="","",SUM(E7,G7,I7,K7,M7,O7,Q7,S7,U7,W7,Y7,AA7,AC7,AE7,AG7,AI7,AK7,AM7,AO7,AQ7,AS7,AU7,AW7,AY7,BA7,BC7,BE7,BG7,BI7,BK7,BM7))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n"/>
      <c r="E8" s="53" t="n"/>
      <c r="F8" s="54" t="n"/>
      <c r="G8" s="55" t="n"/>
      <c r="H8" s="54" t="n"/>
      <c r="I8" s="55" t="n"/>
      <c r="J8" s="52" t="n"/>
      <c r="K8" s="53" t="n"/>
      <c r="L8" s="52" t="n"/>
      <c r="M8" s="53" t="n"/>
      <c r="N8" s="52" t="n"/>
      <c r="O8" s="53" t="n"/>
      <c r="P8" s="52" t="n"/>
      <c r="Q8" s="53" t="n"/>
      <c r="R8" s="52" t="n"/>
      <c r="S8" s="53" t="n"/>
      <c r="T8" s="54" t="n"/>
      <c r="U8" s="55" t="n"/>
      <c r="V8" s="54" t="n"/>
      <c r="W8" s="55" t="n"/>
      <c r="X8" s="52" t="n"/>
      <c r="Y8" s="53" t="n"/>
      <c r="Z8" s="52" t="n"/>
      <c r="AA8" s="53" t="n"/>
      <c r="AB8" s="52" t="n"/>
      <c r="AC8" s="53" t="n"/>
      <c r="AD8" s="52" t="n"/>
      <c r="AE8" s="53" t="n"/>
      <c r="AF8" s="52" t="n"/>
      <c r="AG8" s="53" t="n"/>
      <c r="AH8" s="54" t="n"/>
      <c r="AI8" s="55" t="n"/>
      <c r="AJ8" s="54" t="n"/>
      <c r="AK8" s="55" t="n"/>
      <c r="AL8" s="52" t="n"/>
      <c r="AM8" s="53" t="n"/>
      <c r="AN8" s="52" t="n"/>
      <c r="AO8" s="53" t="n"/>
      <c r="AP8" s="52" t="n"/>
      <c r="AQ8" s="53" t="n"/>
      <c r="AR8" s="52" t="n"/>
      <c r="AS8" s="53" t="n"/>
      <c r="AT8" s="52" t="n"/>
      <c r="AU8" s="53" t="n"/>
      <c r="AV8" s="54" t="n"/>
      <c r="AW8" s="55" t="n"/>
      <c r="AX8" s="54" t="n"/>
      <c r="AY8" s="55" t="n"/>
      <c r="AZ8" s="52" t="n"/>
      <c r="BA8" s="53" t="n"/>
      <c r="BB8" s="52" t="n"/>
      <c r="BC8" s="53" t="n"/>
      <c r="BD8" s="52" t="n"/>
      <c r="BE8" s="53" t="n"/>
      <c r="BF8" s="52" t="n"/>
      <c r="BG8" s="53" t="n"/>
      <c r="BH8" s="52" t="n"/>
      <c r="BI8" s="53" t="n"/>
      <c r="BJ8" s="54" t="n"/>
      <c r="BK8" s="55" t="n"/>
      <c r="BL8" s="54" t="n"/>
      <c r="BM8" s="55" t="n"/>
      <c r="BN8" s="56">
        <f>IF($A8="","",COUNTIF(D8:BM8,"+"))</f>
        <v/>
      </c>
      <c r="BO8" s="57">
        <f>IF($A8="","",COUNTIF(D8:BM8,"x"))</f>
        <v/>
      </c>
      <c r="BP8" s="57">
        <f>IF($A8="","",COUNTIF(D8:BM8,"-"))</f>
        <v/>
      </c>
      <c r="BQ8" s="58">
        <f>IF($A8="","",BN8+BO8*0.5)</f>
        <v/>
      </c>
      <c r="BR8" s="58">
        <f>IF($A8="","",SUM(E8,G8,I8,K8,M8,O8,Q8,S8,U8,W8,Y8,AA8,AC8,AE8,AG8,AI8,AK8,AM8,AO8,AQ8,AS8,AU8,AW8,AY8,BA8,BC8,BE8,BG8,BI8,BK8,BM8))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n"/>
      <c r="E9" s="60" t="n"/>
      <c r="F9" s="54" t="n"/>
      <c r="G9" s="55" t="n"/>
      <c r="H9" s="54" t="n"/>
      <c r="I9" s="55" t="n"/>
      <c r="J9" s="59" t="n"/>
      <c r="K9" s="60" t="n"/>
      <c r="L9" s="59" t="n"/>
      <c r="M9" s="60" t="n"/>
      <c r="N9" s="59" t="n"/>
      <c r="O9" s="60" t="n"/>
      <c r="P9" s="59" t="n"/>
      <c r="Q9" s="60" t="n"/>
      <c r="R9" s="59" t="n"/>
      <c r="S9" s="60" t="n"/>
      <c r="T9" s="54" t="n"/>
      <c r="U9" s="55" t="n"/>
      <c r="V9" s="54" t="n"/>
      <c r="W9" s="55" t="n"/>
      <c r="X9" s="59" t="n"/>
      <c r="Y9" s="60" t="n"/>
      <c r="Z9" s="59" t="n"/>
      <c r="AA9" s="60" t="n"/>
      <c r="AB9" s="59" t="n"/>
      <c r="AC9" s="60" t="n"/>
      <c r="AD9" s="59" t="n"/>
      <c r="AE9" s="60" t="n"/>
      <c r="AF9" s="59" t="n"/>
      <c r="AG9" s="60" t="n"/>
      <c r="AH9" s="54" t="n"/>
      <c r="AI9" s="55" t="n"/>
      <c r="AJ9" s="54" t="n"/>
      <c r="AK9" s="55" t="n"/>
      <c r="AL9" s="59" t="n"/>
      <c r="AM9" s="60" t="n"/>
      <c r="AN9" s="59" t="n"/>
      <c r="AO9" s="60" t="n"/>
      <c r="AP9" s="59" t="n"/>
      <c r="AQ9" s="60" t="n"/>
      <c r="AR9" s="59" t="n"/>
      <c r="AS9" s="60" t="n"/>
      <c r="AT9" s="59" t="n"/>
      <c r="AU9" s="60" t="n"/>
      <c r="AV9" s="54" t="n"/>
      <c r="AW9" s="55" t="n"/>
      <c r="AX9" s="54" t="n"/>
      <c r="AY9" s="55" t="n"/>
      <c r="AZ9" s="59" t="n"/>
      <c r="BA9" s="60" t="n"/>
      <c r="BB9" s="59" t="n"/>
      <c r="BC9" s="60" t="n"/>
      <c r="BD9" s="59" t="n"/>
      <c r="BE9" s="60" t="n"/>
      <c r="BF9" s="59" t="n"/>
      <c r="BG9" s="60" t="n"/>
      <c r="BH9" s="59" t="n"/>
      <c r="BI9" s="60" t="n"/>
      <c r="BJ9" s="54" t="n"/>
      <c r="BK9" s="55" t="n"/>
      <c r="BL9" s="54" t="n"/>
      <c r="BM9" s="55" t="n"/>
      <c r="BN9" s="56">
        <f>IF($A9="","",COUNTIF(D9:BM9,"+"))</f>
        <v/>
      </c>
      <c r="BO9" s="57">
        <f>IF($A9="","",COUNTIF(D9:BM9,"x"))</f>
        <v/>
      </c>
      <c r="BP9" s="57">
        <f>IF($A9="","",COUNTIF(D9:BM9,"-"))</f>
        <v/>
      </c>
      <c r="BQ9" s="58">
        <f>IF($A9="","",BN9+BO9*0.5)</f>
        <v/>
      </c>
      <c r="BR9" s="58">
        <f>IF($A9="","",SUM(E9,G9,I9,K9,M9,O9,Q9,S9,U9,W9,Y9,AA9,AC9,AE9,AG9,AI9,AK9,AM9,AO9,AQ9,AS9,AU9,AW9,AY9,BA9,BC9,BE9,BG9,BI9,BK9,BM9))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n"/>
      <c r="E10" s="53" t="n"/>
      <c r="F10" s="54" t="n"/>
      <c r="G10" s="55" t="n"/>
      <c r="H10" s="54" t="n"/>
      <c r="I10" s="55" t="n"/>
      <c r="J10" s="52" t="n"/>
      <c r="K10" s="53" t="n"/>
      <c r="L10" s="52" t="n"/>
      <c r="M10" s="53" t="n"/>
      <c r="N10" s="52" t="n"/>
      <c r="O10" s="53" t="n"/>
      <c r="P10" s="52" t="n"/>
      <c r="Q10" s="53" t="n"/>
      <c r="R10" s="52" t="n"/>
      <c r="S10" s="53" t="n"/>
      <c r="T10" s="54" t="n"/>
      <c r="U10" s="55" t="n"/>
      <c r="V10" s="54" t="n"/>
      <c r="W10" s="55" t="n"/>
      <c r="X10" s="52" t="n"/>
      <c r="Y10" s="53" t="n"/>
      <c r="Z10" s="52" t="n"/>
      <c r="AA10" s="53" t="n"/>
      <c r="AB10" s="52" t="n"/>
      <c r="AC10" s="53" t="n"/>
      <c r="AD10" s="52" t="n"/>
      <c r="AE10" s="53" t="n"/>
      <c r="AF10" s="52" t="n"/>
      <c r="AG10" s="53" t="n"/>
      <c r="AH10" s="54" t="n"/>
      <c r="AI10" s="55" t="n"/>
      <c r="AJ10" s="54" t="n"/>
      <c r="AK10" s="55" t="n"/>
      <c r="AL10" s="52" t="n"/>
      <c r="AM10" s="53" t="n"/>
      <c r="AN10" s="52" t="n"/>
      <c r="AO10" s="53" t="n"/>
      <c r="AP10" s="52" t="n"/>
      <c r="AQ10" s="53" t="n"/>
      <c r="AR10" s="52" t="n"/>
      <c r="AS10" s="53" t="n"/>
      <c r="AT10" s="52" t="n"/>
      <c r="AU10" s="53" t="n"/>
      <c r="AV10" s="54" t="n"/>
      <c r="AW10" s="55" t="n"/>
      <c r="AX10" s="54" t="n"/>
      <c r="AY10" s="55" t="n"/>
      <c r="AZ10" s="52" t="n"/>
      <c r="BA10" s="53" t="n"/>
      <c r="BB10" s="52" t="n"/>
      <c r="BC10" s="53" t="n"/>
      <c r="BD10" s="52" t="n"/>
      <c r="BE10" s="53" t="n"/>
      <c r="BF10" s="52" t="n"/>
      <c r="BG10" s="53" t="n"/>
      <c r="BH10" s="52" t="n"/>
      <c r="BI10" s="53" t="n"/>
      <c r="BJ10" s="54" t="n"/>
      <c r="BK10" s="55" t="n"/>
      <c r="BL10" s="54" t="n"/>
      <c r="BM10" s="55" t="n"/>
      <c r="BN10" s="56">
        <f>IF($A10="","",COUNTIF(D10:BM10,"+"))</f>
        <v/>
      </c>
      <c r="BO10" s="57">
        <f>IF($A10="","",COUNTIF(D10:BM10,"x"))</f>
        <v/>
      </c>
      <c r="BP10" s="57">
        <f>IF($A10="","",COUNTIF(D10:BM10,"-"))</f>
        <v/>
      </c>
      <c r="BQ10" s="58">
        <f>IF($A10="","",BN10+BO10*0.5)</f>
        <v/>
      </c>
      <c r="BR10" s="58">
        <f>IF($A10="","",SUM(E10,G10,I10,K10,M10,O10,Q10,S10,U10,W10,Y10,AA10,AC10,AE10,AG10,AI10,AK10,AM10,AO10,AQ10,AS10,AU10,AW10,AY10,BA10,BC10,BE10,BG10,BI10,BK10,BM10))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n"/>
      <c r="E11" s="60" t="n"/>
      <c r="F11" s="54" t="n"/>
      <c r="G11" s="55" t="n"/>
      <c r="H11" s="54" t="n"/>
      <c r="I11" s="55" t="n"/>
      <c r="J11" s="59" t="n"/>
      <c r="K11" s="60" t="n"/>
      <c r="L11" s="59" t="n"/>
      <c r="M11" s="60" t="n"/>
      <c r="N11" s="59" t="n"/>
      <c r="O11" s="60" t="n"/>
      <c r="P11" s="59" t="n"/>
      <c r="Q11" s="60" t="n"/>
      <c r="R11" s="59" t="n"/>
      <c r="S11" s="60" t="n"/>
      <c r="T11" s="54" t="n"/>
      <c r="U11" s="55" t="n"/>
      <c r="V11" s="54" t="n"/>
      <c r="W11" s="55" t="n"/>
      <c r="X11" s="59" t="n"/>
      <c r="Y11" s="60" t="n"/>
      <c r="Z11" s="59" t="n"/>
      <c r="AA11" s="60" t="n"/>
      <c r="AB11" s="59" t="n"/>
      <c r="AC11" s="60" t="n"/>
      <c r="AD11" s="59" t="n"/>
      <c r="AE11" s="60" t="n"/>
      <c r="AF11" s="59" t="n"/>
      <c r="AG11" s="60" t="n"/>
      <c r="AH11" s="54" t="n"/>
      <c r="AI11" s="55" t="n"/>
      <c r="AJ11" s="54" t="n"/>
      <c r="AK11" s="55" t="n"/>
      <c r="AL11" s="59" t="n"/>
      <c r="AM11" s="60" t="n"/>
      <c r="AN11" s="59" t="n"/>
      <c r="AO11" s="60" t="n"/>
      <c r="AP11" s="59" t="n"/>
      <c r="AQ11" s="60" t="n"/>
      <c r="AR11" s="59" t="n"/>
      <c r="AS11" s="60" t="n"/>
      <c r="AT11" s="59" t="n"/>
      <c r="AU11" s="60" t="n"/>
      <c r="AV11" s="54" t="n"/>
      <c r="AW11" s="55" t="n"/>
      <c r="AX11" s="54" t="n"/>
      <c r="AY11" s="55" t="n"/>
      <c r="AZ11" s="59" t="n"/>
      <c r="BA11" s="60" t="n"/>
      <c r="BB11" s="59" t="n"/>
      <c r="BC11" s="60" t="n"/>
      <c r="BD11" s="59" t="n"/>
      <c r="BE11" s="60" t="n"/>
      <c r="BF11" s="59" t="n"/>
      <c r="BG11" s="60" t="n"/>
      <c r="BH11" s="59" t="n"/>
      <c r="BI11" s="60" t="n"/>
      <c r="BJ11" s="54" t="n"/>
      <c r="BK11" s="55" t="n"/>
      <c r="BL11" s="54" t="n"/>
      <c r="BM11" s="55" t="n"/>
      <c r="BN11" s="56">
        <f>IF($A11="","",COUNTIF(D11:BM11,"+"))</f>
        <v/>
      </c>
      <c r="BO11" s="57">
        <f>IF($A11="","",COUNTIF(D11:BM11,"x"))</f>
        <v/>
      </c>
      <c r="BP11" s="57">
        <f>IF($A11="","",COUNTIF(D11:BM11,"-"))</f>
        <v/>
      </c>
      <c r="BQ11" s="58">
        <f>IF($A11="","",BN11+BO11*0.5)</f>
        <v/>
      </c>
      <c r="BR11" s="58">
        <f>IF($A11="","",SUM(E11,G11,I11,K11,M11,O11,Q11,S11,U11,W11,Y11,AA11,AC11,AE11,AG11,AI11,AK11,AM11,AO11,AQ11,AS11,AU11,AW11,AY11,BA11,BC11,BE11,BG11,BI11,BK11,BM11))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n"/>
      <c r="E12" s="53" t="n"/>
      <c r="F12" s="54" t="n"/>
      <c r="G12" s="55" t="n"/>
      <c r="H12" s="54" t="n"/>
      <c r="I12" s="55" t="n"/>
      <c r="J12" s="52" t="n"/>
      <c r="K12" s="53" t="n"/>
      <c r="L12" s="52" t="n"/>
      <c r="M12" s="53" t="n"/>
      <c r="N12" s="52" t="n"/>
      <c r="O12" s="53" t="n"/>
      <c r="P12" s="52" t="n"/>
      <c r="Q12" s="53" t="n"/>
      <c r="R12" s="52" t="n"/>
      <c r="S12" s="53" t="n"/>
      <c r="T12" s="54" t="n"/>
      <c r="U12" s="55" t="n"/>
      <c r="V12" s="54" t="n"/>
      <c r="W12" s="55" t="n"/>
      <c r="X12" s="52" t="n"/>
      <c r="Y12" s="53" t="n"/>
      <c r="Z12" s="52" t="n"/>
      <c r="AA12" s="53" t="n"/>
      <c r="AB12" s="52" t="n"/>
      <c r="AC12" s="53" t="n"/>
      <c r="AD12" s="52" t="n"/>
      <c r="AE12" s="53" t="n"/>
      <c r="AF12" s="52" t="n"/>
      <c r="AG12" s="53" t="n"/>
      <c r="AH12" s="54" t="n"/>
      <c r="AI12" s="55" t="n"/>
      <c r="AJ12" s="54" t="n"/>
      <c r="AK12" s="55" t="n"/>
      <c r="AL12" s="52" t="n"/>
      <c r="AM12" s="53" t="n"/>
      <c r="AN12" s="52" t="n"/>
      <c r="AO12" s="53" t="n"/>
      <c r="AP12" s="52" t="n"/>
      <c r="AQ12" s="53" t="n"/>
      <c r="AR12" s="52" t="n"/>
      <c r="AS12" s="53" t="n"/>
      <c r="AT12" s="52" t="n"/>
      <c r="AU12" s="53" t="n"/>
      <c r="AV12" s="54" t="n"/>
      <c r="AW12" s="55" t="n"/>
      <c r="AX12" s="54" t="n"/>
      <c r="AY12" s="55" t="n"/>
      <c r="AZ12" s="52" t="n"/>
      <c r="BA12" s="53" t="n"/>
      <c r="BB12" s="52" t="n"/>
      <c r="BC12" s="53" t="n"/>
      <c r="BD12" s="52" t="n"/>
      <c r="BE12" s="53" t="n"/>
      <c r="BF12" s="52" t="n"/>
      <c r="BG12" s="53" t="n"/>
      <c r="BH12" s="52" t="n"/>
      <c r="BI12" s="53" t="n"/>
      <c r="BJ12" s="54" t="n"/>
      <c r="BK12" s="55" t="n"/>
      <c r="BL12" s="54" t="n"/>
      <c r="BM12" s="55" t="n"/>
      <c r="BN12" s="56">
        <f>IF($A12="","",COUNTIF(D12:BM12,"+"))</f>
        <v/>
      </c>
      <c r="BO12" s="57">
        <f>IF($A12="","",COUNTIF(D12:BM12,"x"))</f>
        <v/>
      </c>
      <c r="BP12" s="57">
        <f>IF($A12="","",COUNTIF(D12:BM12,"-"))</f>
        <v/>
      </c>
      <c r="BQ12" s="58">
        <f>IF($A12="","",BN12+BO12*0.5)</f>
        <v/>
      </c>
      <c r="BR12" s="58">
        <f>IF($A12="","",SUM(E12,G12,I12,K12,M12,O12,Q12,S12,U12,W12,Y12,AA12,AC12,AE12,AG12,AI12,AK12,AM12,AO12,AQ12,AS12,AU12,AW12,AY12,BA12,BC12,BE12,BG12,BI12,BK12,BM12))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4" t="n"/>
      <c r="G13" s="55" t="n"/>
      <c r="H13" s="54" t="n"/>
      <c r="I13" s="55" t="n"/>
      <c r="J13" s="59" t="n"/>
      <c r="K13" s="60" t="n"/>
      <c r="L13" s="59" t="n"/>
      <c r="M13" s="60" t="n"/>
      <c r="N13" s="59" t="n"/>
      <c r="O13" s="60" t="n"/>
      <c r="P13" s="59" t="n"/>
      <c r="Q13" s="60" t="n"/>
      <c r="R13" s="59" t="n"/>
      <c r="S13" s="60" t="n"/>
      <c r="T13" s="54" t="n"/>
      <c r="U13" s="55" t="n"/>
      <c r="V13" s="54" t="n"/>
      <c r="W13" s="55" t="n"/>
      <c r="X13" s="59" t="n"/>
      <c r="Y13" s="60" t="n"/>
      <c r="Z13" s="59" t="n"/>
      <c r="AA13" s="60" t="n"/>
      <c r="AB13" s="59" t="n"/>
      <c r="AC13" s="60" t="n"/>
      <c r="AD13" s="59" t="n"/>
      <c r="AE13" s="60" t="n"/>
      <c r="AF13" s="59" t="n"/>
      <c r="AG13" s="60" t="n"/>
      <c r="AH13" s="54" t="n"/>
      <c r="AI13" s="55" t="n"/>
      <c r="AJ13" s="54" t="n"/>
      <c r="AK13" s="55" t="n"/>
      <c r="AL13" s="59" t="n"/>
      <c r="AM13" s="60" t="n"/>
      <c r="AN13" s="59" t="n"/>
      <c r="AO13" s="60" t="n"/>
      <c r="AP13" s="59" t="n"/>
      <c r="AQ13" s="60" t="n"/>
      <c r="AR13" s="59" t="n"/>
      <c r="AS13" s="60" t="n"/>
      <c r="AT13" s="59" t="n"/>
      <c r="AU13" s="60" t="n"/>
      <c r="AV13" s="54" t="n"/>
      <c r="AW13" s="55" t="n"/>
      <c r="AX13" s="54" t="n"/>
      <c r="AY13" s="55" t="n"/>
      <c r="AZ13" s="59" t="n"/>
      <c r="BA13" s="60" t="n"/>
      <c r="BB13" s="59" t="n"/>
      <c r="BC13" s="60" t="n"/>
      <c r="BD13" s="59" t="n"/>
      <c r="BE13" s="60" t="n"/>
      <c r="BF13" s="59" t="n"/>
      <c r="BG13" s="60" t="n"/>
      <c r="BH13" s="59" t="n"/>
      <c r="BI13" s="60" t="n"/>
      <c r="BJ13" s="54" t="n"/>
      <c r="BK13" s="55" t="n"/>
      <c r="BL13" s="54" t="n"/>
      <c r="BM13" s="55" t="n"/>
      <c r="BN13" s="56">
        <f>IF($A13="","",COUNTIF(D13:BM13,"+"))</f>
        <v/>
      </c>
      <c r="BO13" s="57">
        <f>IF($A13="","",COUNTIF(D13:BM13,"x"))</f>
        <v/>
      </c>
      <c r="BP13" s="57">
        <f>IF($A13="","",COUNTIF(D13:BM13,"-"))</f>
        <v/>
      </c>
      <c r="BQ13" s="58">
        <f>IF($A13="","",BN13+BO13*0.5)</f>
        <v/>
      </c>
      <c r="BR13" s="58">
        <f>IF($A13="","",SUM(E13,G13,I13,K13,M13,O13,Q13,S13,U13,W13,Y13,AA13,AC13,AE13,AG13,AI13,AK13,AM13,AO13,AQ13,AS13,AU13,AW13,AY13,BA13,BC13,BE13,BG13,BI13,BK13,BM13))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4" t="n"/>
      <c r="G14" s="55" t="n"/>
      <c r="H14" s="54" t="n"/>
      <c r="I14" s="55" t="n"/>
      <c r="J14" s="52" t="n"/>
      <c r="K14" s="53" t="n"/>
      <c r="L14" s="52" t="n"/>
      <c r="M14" s="53" t="n"/>
      <c r="N14" s="52" t="n"/>
      <c r="O14" s="53" t="n"/>
      <c r="P14" s="52" t="n"/>
      <c r="Q14" s="53" t="n"/>
      <c r="R14" s="52" t="n"/>
      <c r="S14" s="53" t="n"/>
      <c r="T14" s="54" t="n"/>
      <c r="U14" s="55" t="n"/>
      <c r="V14" s="54" t="n"/>
      <c r="W14" s="55" t="n"/>
      <c r="X14" s="52" t="n"/>
      <c r="Y14" s="53" t="n"/>
      <c r="Z14" s="52" t="n"/>
      <c r="AA14" s="53" t="n"/>
      <c r="AB14" s="52" t="n"/>
      <c r="AC14" s="53" t="n"/>
      <c r="AD14" s="52" t="n"/>
      <c r="AE14" s="53" t="n"/>
      <c r="AF14" s="52" t="n"/>
      <c r="AG14" s="53" t="n"/>
      <c r="AH14" s="54" t="n"/>
      <c r="AI14" s="55" t="n"/>
      <c r="AJ14" s="54" t="n"/>
      <c r="AK14" s="55" t="n"/>
      <c r="AL14" s="52" t="n"/>
      <c r="AM14" s="53" t="n"/>
      <c r="AN14" s="52" t="n"/>
      <c r="AO14" s="53" t="n"/>
      <c r="AP14" s="52" t="n"/>
      <c r="AQ14" s="53" t="n"/>
      <c r="AR14" s="52" t="n"/>
      <c r="AS14" s="53" t="n"/>
      <c r="AT14" s="52" t="n"/>
      <c r="AU14" s="53" t="n"/>
      <c r="AV14" s="54" t="n"/>
      <c r="AW14" s="55" t="n"/>
      <c r="AX14" s="54" t="n"/>
      <c r="AY14" s="55" t="n"/>
      <c r="AZ14" s="52" t="n"/>
      <c r="BA14" s="53" t="n"/>
      <c r="BB14" s="52" t="n"/>
      <c r="BC14" s="53" t="n"/>
      <c r="BD14" s="52" t="n"/>
      <c r="BE14" s="53" t="n"/>
      <c r="BF14" s="52" t="n"/>
      <c r="BG14" s="53" t="n"/>
      <c r="BH14" s="52" t="n"/>
      <c r="BI14" s="53" t="n"/>
      <c r="BJ14" s="54" t="n"/>
      <c r="BK14" s="55" t="n"/>
      <c r="BL14" s="54" t="n"/>
      <c r="BM14" s="55" t="n"/>
      <c r="BN14" s="56">
        <f>IF($A14="","",COUNTIF(D14:BM14,"+"))</f>
        <v/>
      </c>
      <c r="BO14" s="57">
        <f>IF($A14="","",COUNTIF(D14:BM14,"x"))</f>
        <v/>
      </c>
      <c r="BP14" s="57">
        <f>IF($A14="","",COUNTIF(D14:BM14,"-"))</f>
        <v/>
      </c>
      <c r="BQ14" s="58">
        <f>IF($A14="","",BN14+BO14*0.5)</f>
        <v/>
      </c>
      <c r="BR14" s="58">
        <f>IF($A14="","",SUM(E14,G14,I14,K14,M14,O14,Q14,S14,U14,W14,Y14,AA14,AC14,AE14,AG14,AI14,AK14,AM14,AO14,AQ14,AS14,AU14,AW14,AY14,BA14,BC14,BE14,BG14,BI14,BK14,BM14))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4" t="n"/>
      <c r="G15" s="55" t="n"/>
      <c r="H15" s="54" t="n"/>
      <c r="I15" s="55" t="n"/>
      <c r="J15" s="59" t="n"/>
      <c r="K15" s="60" t="n"/>
      <c r="L15" s="59" t="n"/>
      <c r="M15" s="60" t="n"/>
      <c r="N15" s="59" t="n"/>
      <c r="O15" s="60" t="n"/>
      <c r="P15" s="59" t="n"/>
      <c r="Q15" s="60" t="n"/>
      <c r="R15" s="59" t="n"/>
      <c r="S15" s="60" t="n"/>
      <c r="T15" s="54" t="n"/>
      <c r="U15" s="55" t="n"/>
      <c r="V15" s="54" t="n"/>
      <c r="W15" s="55" t="n"/>
      <c r="X15" s="59" t="n"/>
      <c r="Y15" s="60" t="n"/>
      <c r="Z15" s="59" t="n"/>
      <c r="AA15" s="60" t="n"/>
      <c r="AB15" s="59" t="n"/>
      <c r="AC15" s="60" t="n"/>
      <c r="AD15" s="59" t="n"/>
      <c r="AE15" s="60" t="n"/>
      <c r="AF15" s="59" t="n"/>
      <c r="AG15" s="60" t="n"/>
      <c r="AH15" s="54" t="n"/>
      <c r="AI15" s="55" t="n"/>
      <c r="AJ15" s="54" t="n"/>
      <c r="AK15" s="55" t="n"/>
      <c r="AL15" s="59" t="n"/>
      <c r="AM15" s="60" t="n"/>
      <c r="AN15" s="59" t="n"/>
      <c r="AO15" s="60" t="n"/>
      <c r="AP15" s="59" t="n"/>
      <c r="AQ15" s="60" t="n"/>
      <c r="AR15" s="59" t="n"/>
      <c r="AS15" s="60" t="n"/>
      <c r="AT15" s="59" t="n"/>
      <c r="AU15" s="60" t="n"/>
      <c r="AV15" s="54" t="n"/>
      <c r="AW15" s="55" t="n"/>
      <c r="AX15" s="54" t="n"/>
      <c r="AY15" s="55" t="n"/>
      <c r="AZ15" s="59" t="n"/>
      <c r="BA15" s="60" t="n"/>
      <c r="BB15" s="59" t="n"/>
      <c r="BC15" s="60" t="n"/>
      <c r="BD15" s="59" t="n"/>
      <c r="BE15" s="60" t="n"/>
      <c r="BF15" s="59" t="n"/>
      <c r="BG15" s="60" t="n"/>
      <c r="BH15" s="59" t="n"/>
      <c r="BI15" s="60" t="n"/>
      <c r="BJ15" s="54" t="n"/>
      <c r="BK15" s="55" t="n"/>
      <c r="BL15" s="54" t="n"/>
      <c r="BM15" s="55" t="n"/>
      <c r="BN15" s="56">
        <f>IF($A15="","",COUNTIF(D15:BM15,"+"))</f>
        <v/>
      </c>
      <c r="BO15" s="57">
        <f>IF($A15="","",COUNTIF(D15:BM15,"x"))</f>
        <v/>
      </c>
      <c r="BP15" s="57">
        <f>IF($A15="","",COUNTIF(D15:BM15,"-"))</f>
        <v/>
      </c>
      <c r="BQ15" s="58">
        <f>IF($A15="","",BN15+BO15*0.5)</f>
        <v/>
      </c>
      <c r="BR15" s="58">
        <f>IF($A15="","",SUM(E15,G15,I15,K15,M15,O15,Q15,S15,U15,W15,Y15,AA15,AC15,AE15,AG15,AI15,AK15,AM15,AO15,AQ15,AS15,AU15,AW15,AY15,BA15,BC15,BE15,BG15,BI15,BK15,BM15))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4" t="n"/>
      <c r="G16" s="55" t="n"/>
      <c r="H16" s="54" t="n"/>
      <c r="I16" s="55" t="n"/>
      <c r="J16" s="52" t="n"/>
      <c r="K16" s="53" t="n"/>
      <c r="L16" s="52" t="n"/>
      <c r="M16" s="53" t="n"/>
      <c r="N16" s="52" t="n"/>
      <c r="O16" s="53" t="n"/>
      <c r="P16" s="52" t="n"/>
      <c r="Q16" s="53" t="n"/>
      <c r="R16" s="52" t="n"/>
      <c r="S16" s="53" t="n"/>
      <c r="T16" s="54" t="n"/>
      <c r="U16" s="55" t="n"/>
      <c r="V16" s="54" t="n"/>
      <c r="W16" s="55" t="n"/>
      <c r="X16" s="52" t="n"/>
      <c r="Y16" s="53" t="n"/>
      <c r="Z16" s="52" t="n"/>
      <c r="AA16" s="53" t="n"/>
      <c r="AB16" s="52" t="n"/>
      <c r="AC16" s="53" t="n"/>
      <c r="AD16" s="52" t="n"/>
      <c r="AE16" s="53" t="n"/>
      <c r="AF16" s="52" t="n"/>
      <c r="AG16" s="53" t="n"/>
      <c r="AH16" s="54" t="n"/>
      <c r="AI16" s="55" t="n"/>
      <c r="AJ16" s="54" t="n"/>
      <c r="AK16" s="55" t="n"/>
      <c r="AL16" s="52" t="n"/>
      <c r="AM16" s="53" t="n"/>
      <c r="AN16" s="52" t="n"/>
      <c r="AO16" s="53" t="n"/>
      <c r="AP16" s="52" t="n"/>
      <c r="AQ16" s="53" t="n"/>
      <c r="AR16" s="52" t="n"/>
      <c r="AS16" s="53" t="n"/>
      <c r="AT16" s="52" t="n"/>
      <c r="AU16" s="53" t="n"/>
      <c r="AV16" s="54" t="n"/>
      <c r="AW16" s="55" t="n"/>
      <c r="AX16" s="54" t="n"/>
      <c r="AY16" s="55" t="n"/>
      <c r="AZ16" s="52" t="n"/>
      <c r="BA16" s="53" t="n"/>
      <c r="BB16" s="52" t="n"/>
      <c r="BC16" s="53" t="n"/>
      <c r="BD16" s="52" t="n"/>
      <c r="BE16" s="53" t="n"/>
      <c r="BF16" s="52" t="n"/>
      <c r="BG16" s="53" t="n"/>
      <c r="BH16" s="52" t="n"/>
      <c r="BI16" s="53" t="n"/>
      <c r="BJ16" s="54" t="n"/>
      <c r="BK16" s="55" t="n"/>
      <c r="BL16" s="54" t="n"/>
      <c r="BM16" s="55" t="n"/>
      <c r="BN16" s="56">
        <f>IF($A16="","",COUNTIF(D16:BM16,"+"))</f>
        <v/>
      </c>
      <c r="BO16" s="57">
        <f>IF($A16="","",COUNTIF(D16:BM16,"x"))</f>
        <v/>
      </c>
      <c r="BP16" s="57">
        <f>IF($A16="","",COUNTIF(D16:BM16,"-"))</f>
        <v/>
      </c>
      <c r="BQ16" s="58">
        <f>IF($A16="","",BN16+BO16*0.5)</f>
        <v/>
      </c>
      <c r="BR16" s="58">
        <f>IF($A16="","",SUM(E16,G16,I16,K16,M16,O16,Q16,S16,U16,W16,Y16,AA16,AC16,AE16,AG16,AI16,AK16,AM16,AO16,AQ16,AS16,AU16,AW16,AY16,BA16,BC16,BE16,BG16,BI16,BK16,BM16))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4" t="n"/>
      <c r="G17" s="55" t="n"/>
      <c r="H17" s="54" t="n"/>
      <c r="I17" s="55" t="n"/>
      <c r="J17" s="59" t="n"/>
      <c r="K17" s="60" t="n"/>
      <c r="L17" s="59" t="n"/>
      <c r="M17" s="60" t="n"/>
      <c r="N17" s="59" t="n"/>
      <c r="O17" s="60" t="n"/>
      <c r="P17" s="59" t="n"/>
      <c r="Q17" s="60" t="n"/>
      <c r="R17" s="59" t="n"/>
      <c r="S17" s="60" t="n"/>
      <c r="T17" s="54" t="n"/>
      <c r="U17" s="55" t="n"/>
      <c r="V17" s="54" t="n"/>
      <c r="W17" s="55" t="n"/>
      <c r="X17" s="59" t="n"/>
      <c r="Y17" s="60" t="n"/>
      <c r="Z17" s="59" t="n"/>
      <c r="AA17" s="60" t="n"/>
      <c r="AB17" s="59" t="n"/>
      <c r="AC17" s="60" t="n"/>
      <c r="AD17" s="59" t="n"/>
      <c r="AE17" s="60" t="n"/>
      <c r="AF17" s="59" t="n"/>
      <c r="AG17" s="60" t="n"/>
      <c r="AH17" s="54" t="n"/>
      <c r="AI17" s="55" t="n"/>
      <c r="AJ17" s="54" t="n"/>
      <c r="AK17" s="55" t="n"/>
      <c r="AL17" s="59" t="n"/>
      <c r="AM17" s="60" t="n"/>
      <c r="AN17" s="59" t="n"/>
      <c r="AO17" s="60" t="n"/>
      <c r="AP17" s="59" t="n"/>
      <c r="AQ17" s="60" t="n"/>
      <c r="AR17" s="59" t="n"/>
      <c r="AS17" s="60" t="n"/>
      <c r="AT17" s="59" t="n"/>
      <c r="AU17" s="60" t="n"/>
      <c r="AV17" s="54" t="n"/>
      <c r="AW17" s="55" t="n"/>
      <c r="AX17" s="54" t="n"/>
      <c r="AY17" s="55" t="n"/>
      <c r="AZ17" s="59" t="n"/>
      <c r="BA17" s="60" t="n"/>
      <c r="BB17" s="59" t="n"/>
      <c r="BC17" s="60" t="n"/>
      <c r="BD17" s="59" t="n"/>
      <c r="BE17" s="60" t="n"/>
      <c r="BF17" s="59" t="n"/>
      <c r="BG17" s="60" t="n"/>
      <c r="BH17" s="59" t="n"/>
      <c r="BI17" s="60" t="n"/>
      <c r="BJ17" s="54" t="n"/>
      <c r="BK17" s="55" t="n"/>
      <c r="BL17" s="54" t="n"/>
      <c r="BM17" s="55" t="n"/>
      <c r="BN17" s="56">
        <f>IF($A17="","",COUNTIF(D17:BM17,"+"))</f>
        <v/>
      </c>
      <c r="BO17" s="57">
        <f>IF($A17="","",COUNTIF(D17:BM17,"x"))</f>
        <v/>
      </c>
      <c r="BP17" s="57">
        <f>IF($A17="","",COUNTIF(D17:BM17,"-"))</f>
        <v/>
      </c>
      <c r="BQ17" s="58">
        <f>IF($A17="","",BN17+BO17*0.5)</f>
        <v/>
      </c>
      <c r="BR17" s="58">
        <f>IF($A17="","",SUM(E17,G17,I17,K17,M17,O17,Q17,S17,U17,W17,Y17,AA17,AC17,AE17,AG17,AI17,AK17,AM17,AO17,AQ17,AS17,AU17,AW17,AY17,BA17,BC17,BE17,BG17,BI17,BK17,BM17))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4" t="n"/>
      <c r="G18" s="55" t="n"/>
      <c r="H18" s="54" t="n"/>
      <c r="I18" s="55" t="n"/>
      <c r="J18" s="52" t="n"/>
      <c r="K18" s="53" t="n"/>
      <c r="L18" s="52" t="n"/>
      <c r="M18" s="53" t="n"/>
      <c r="N18" s="52" t="n"/>
      <c r="O18" s="53" t="n"/>
      <c r="P18" s="52" t="n"/>
      <c r="Q18" s="53" t="n"/>
      <c r="R18" s="52" t="n"/>
      <c r="S18" s="53" t="n"/>
      <c r="T18" s="54" t="n"/>
      <c r="U18" s="55" t="n"/>
      <c r="V18" s="54" t="n"/>
      <c r="W18" s="55" t="n"/>
      <c r="X18" s="52" t="n"/>
      <c r="Y18" s="53" t="n"/>
      <c r="Z18" s="52" t="n"/>
      <c r="AA18" s="53" t="n"/>
      <c r="AB18" s="52" t="n"/>
      <c r="AC18" s="53" t="n"/>
      <c r="AD18" s="52" t="n"/>
      <c r="AE18" s="53" t="n"/>
      <c r="AF18" s="52" t="n"/>
      <c r="AG18" s="53" t="n"/>
      <c r="AH18" s="54" t="n"/>
      <c r="AI18" s="55" t="n"/>
      <c r="AJ18" s="54" t="n"/>
      <c r="AK18" s="55" t="n"/>
      <c r="AL18" s="52" t="n"/>
      <c r="AM18" s="53" t="n"/>
      <c r="AN18" s="52" t="n"/>
      <c r="AO18" s="53" t="n"/>
      <c r="AP18" s="52" t="n"/>
      <c r="AQ18" s="53" t="n"/>
      <c r="AR18" s="52" t="n"/>
      <c r="AS18" s="53" t="n"/>
      <c r="AT18" s="52" t="n"/>
      <c r="AU18" s="53" t="n"/>
      <c r="AV18" s="54" t="n"/>
      <c r="AW18" s="55" t="n"/>
      <c r="AX18" s="54" t="n"/>
      <c r="AY18" s="55" t="n"/>
      <c r="AZ18" s="52" t="n"/>
      <c r="BA18" s="53" t="n"/>
      <c r="BB18" s="52" t="n"/>
      <c r="BC18" s="53" t="n"/>
      <c r="BD18" s="52" t="n"/>
      <c r="BE18" s="53" t="n"/>
      <c r="BF18" s="52" t="n"/>
      <c r="BG18" s="53" t="n"/>
      <c r="BH18" s="52" t="n"/>
      <c r="BI18" s="53" t="n"/>
      <c r="BJ18" s="54" t="n"/>
      <c r="BK18" s="55" t="n"/>
      <c r="BL18" s="54" t="n"/>
      <c r="BM18" s="55" t="n"/>
      <c r="BN18" s="56">
        <f>IF($A18="","",COUNTIF(D18:BM18,"+"))</f>
        <v/>
      </c>
      <c r="BO18" s="57">
        <f>IF($A18="","",COUNTIF(D18:BM18,"x"))</f>
        <v/>
      </c>
      <c r="BP18" s="57">
        <f>IF($A18="","",COUNTIF(D18:BM18,"-"))</f>
        <v/>
      </c>
      <c r="BQ18" s="58">
        <f>IF($A18="","",BN18+BO18*0.5)</f>
        <v/>
      </c>
      <c r="BR18" s="58">
        <f>IF($A18="","",SUM(E18,G18,I18,K18,M18,O18,Q18,S18,U18,W18,Y18,AA18,AC18,AE18,AG18,AI18,AK18,AM18,AO18,AQ18,AS18,AU18,AW18,AY18,BA18,BC18,BE18,BG18,BI18,BK18,BM18))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4" t="n"/>
      <c r="G19" s="55" t="n"/>
      <c r="H19" s="54" t="n"/>
      <c r="I19" s="55" t="n"/>
      <c r="J19" s="59" t="n"/>
      <c r="K19" s="60" t="n"/>
      <c r="L19" s="59" t="n"/>
      <c r="M19" s="60" t="n"/>
      <c r="N19" s="59" t="n"/>
      <c r="O19" s="60" t="n"/>
      <c r="P19" s="59" t="n"/>
      <c r="Q19" s="60" t="n"/>
      <c r="R19" s="59" t="n"/>
      <c r="S19" s="60" t="n"/>
      <c r="T19" s="54" t="n"/>
      <c r="U19" s="55" t="n"/>
      <c r="V19" s="54" t="n"/>
      <c r="W19" s="55" t="n"/>
      <c r="X19" s="59" t="n"/>
      <c r="Y19" s="60" t="n"/>
      <c r="Z19" s="59" t="n"/>
      <c r="AA19" s="60" t="n"/>
      <c r="AB19" s="59" t="n"/>
      <c r="AC19" s="60" t="n"/>
      <c r="AD19" s="59" t="n"/>
      <c r="AE19" s="60" t="n"/>
      <c r="AF19" s="59" t="n"/>
      <c r="AG19" s="60" t="n"/>
      <c r="AH19" s="54" t="n"/>
      <c r="AI19" s="55" t="n"/>
      <c r="AJ19" s="54" t="n"/>
      <c r="AK19" s="55" t="n"/>
      <c r="AL19" s="59" t="n"/>
      <c r="AM19" s="60" t="n"/>
      <c r="AN19" s="59" t="n"/>
      <c r="AO19" s="60" t="n"/>
      <c r="AP19" s="59" t="n"/>
      <c r="AQ19" s="60" t="n"/>
      <c r="AR19" s="59" t="n"/>
      <c r="AS19" s="60" t="n"/>
      <c r="AT19" s="59" t="n"/>
      <c r="AU19" s="60" t="n"/>
      <c r="AV19" s="54" t="n"/>
      <c r="AW19" s="55" t="n"/>
      <c r="AX19" s="54" t="n"/>
      <c r="AY19" s="55" t="n"/>
      <c r="AZ19" s="59" t="n"/>
      <c r="BA19" s="60" t="n"/>
      <c r="BB19" s="59" t="n"/>
      <c r="BC19" s="60" t="n"/>
      <c r="BD19" s="59" t="n"/>
      <c r="BE19" s="60" t="n"/>
      <c r="BF19" s="59" t="n"/>
      <c r="BG19" s="60" t="n"/>
      <c r="BH19" s="59" t="n"/>
      <c r="BI19" s="60" t="n"/>
      <c r="BJ19" s="54" t="n"/>
      <c r="BK19" s="55" t="n"/>
      <c r="BL19" s="54" t="n"/>
      <c r="BM19" s="55" t="n"/>
      <c r="BN19" s="56">
        <f>IF($A19="","",COUNTIF(D19:BM19,"+"))</f>
        <v/>
      </c>
      <c r="BO19" s="57">
        <f>IF($A19="","",COUNTIF(D19:BM19,"x"))</f>
        <v/>
      </c>
      <c r="BP19" s="57">
        <f>IF($A19="","",COUNTIF(D19:BM19,"-"))</f>
        <v/>
      </c>
      <c r="BQ19" s="58">
        <f>IF($A19="","",BN19+BO19*0.5)</f>
        <v/>
      </c>
      <c r="BR19" s="58">
        <f>IF($A19="","",SUM(E19,G19,I19,K19,M19,O19,Q19,S19,U19,W19,Y19,AA19,AC19,AE19,AG19,AI19,AK19,AM19,AO19,AQ19,AS19,AU19,AW19,AY19,BA19,BC19,BE19,BG19,BI19,BK19,BM19))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4" t="n"/>
      <c r="G20" s="55" t="n"/>
      <c r="H20" s="54" t="n"/>
      <c r="I20" s="55" t="n"/>
      <c r="J20" s="52" t="n"/>
      <c r="K20" s="53" t="n"/>
      <c r="L20" s="52" t="n"/>
      <c r="M20" s="53" t="n"/>
      <c r="N20" s="52" t="n"/>
      <c r="O20" s="53" t="n"/>
      <c r="P20" s="52" t="n"/>
      <c r="Q20" s="53" t="n"/>
      <c r="R20" s="52" t="n"/>
      <c r="S20" s="53" t="n"/>
      <c r="T20" s="54" t="n"/>
      <c r="U20" s="55" t="n"/>
      <c r="V20" s="54" t="n"/>
      <c r="W20" s="55" t="n"/>
      <c r="X20" s="52" t="n"/>
      <c r="Y20" s="53" t="n"/>
      <c r="Z20" s="52" t="n"/>
      <c r="AA20" s="53" t="n"/>
      <c r="AB20" s="52" t="n"/>
      <c r="AC20" s="53" t="n"/>
      <c r="AD20" s="52" t="n"/>
      <c r="AE20" s="53" t="n"/>
      <c r="AF20" s="52" t="n"/>
      <c r="AG20" s="53" t="n"/>
      <c r="AH20" s="54" t="n"/>
      <c r="AI20" s="55" t="n"/>
      <c r="AJ20" s="54" t="n"/>
      <c r="AK20" s="55" t="n"/>
      <c r="AL20" s="52" t="n"/>
      <c r="AM20" s="53" t="n"/>
      <c r="AN20" s="52" t="n"/>
      <c r="AO20" s="53" t="n"/>
      <c r="AP20" s="52" t="n"/>
      <c r="AQ20" s="53" t="n"/>
      <c r="AR20" s="52" t="n"/>
      <c r="AS20" s="53" t="n"/>
      <c r="AT20" s="52" t="n"/>
      <c r="AU20" s="53" t="n"/>
      <c r="AV20" s="54" t="n"/>
      <c r="AW20" s="55" t="n"/>
      <c r="AX20" s="54" t="n"/>
      <c r="AY20" s="55" t="n"/>
      <c r="AZ20" s="52" t="n"/>
      <c r="BA20" s="53" t="n"/>
      <c r="BB20" s="52" t="n"/>
      <c r="BC20" s="53" t="n"/>
      <c r="BD20" s="52" t="n"/>
      <c r="BE20" s="53" t="n"/>
      <c r="BF20" s="52" t="n"/>
      <c r="BG20" s="53" t="n"/>
      <c r="BH20" s="52" t="n"/>
      <c r="BI20" s="53" t="n"/>
      <c r="BJ20" s="54" t="n"/>
      <c r="BK20" s="55" t="n"/>
      <c r="BL20" s="54" t="n"/>
      <c r="BM20" s="55" t="n"/>
      <c r="BN20" s="56">
        <f>IF($A20="","",COUNTIF(D20:BM20,"+"))</f>
        <v/>
      </c>
      <c r="BO20" s="57">
        <f>IF($A20="","",COUNTIF(D20:BM20,"x"))</f>
        <v/>
      </c>
      <c r="BP20" s="57">
        <f>IF($A20="","",COUNTIF(D20:BM20,"-"))</f>
        <v/>
      </c>
      <c r="BQ20" s="58">
        <f>IF($A20="","",BN20+BO20*0.5)</f>
        <v/>
      </c>
      <c r="BR20" s="58">
        <f>IF($A20="","",SUM(E20,G20,I20,K20,M20,O20,Q20,S20,U20,W20,Y20,AA20,AC20,AE20,AG20,AI20,AK20,AM20,AO20,AQ20,AS20,AU20,AW20,AY20,BA20,BC20,BE20,BG20,BI20,BK20,BM20))</f>
        <v/>
      </c>
    </row>
  </sheetData>
  <mergeCells count="44">
    <mergeCell ref="F4:G4"/>
    <mergeCell ref="P4:Q4"/>
    <mergeCell ref="AX4:AY4"/>
    <mergeCell ref="BH4:BI4"/>
    <mergeCell ref="C4:C5"/>
    <mergeCell ref="BJ4:BK4"/>
    <mergeCell ref="BP4:BP5"/>
    <mergeCell ref="H4:I4"/>
    <mergeCell ref="BQ4:BQ5"/>
    <mergeCell ref="R4:S4"/>
    <mergeCell ref="A2:C2"/>
    <mergeCell ref="AB4:AC4"/>
    <mergeCell ref="T4:U4"/>
    <mergeCell ref="AF4:AG4"/>
    <mergeCell ref="V4:W4"/>
    <mergeCell ref="AH4:AI4"/>
    <mergeCell ref="AN4:AO4"/>
    <mergeCell ref="BN4:BN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R4:BR5"/>
    <mergeCell ref="D4:E4"/>
    <mergeCell ref="N2:Q2"/>
    <mergeCell ref="D2:G2"/>
    <mergeCell ref="BO4:BO5"/>
    <mergeCell ref="X4:Y4"/>
    <mergeCell ref="AJ4:AK4"/>
    <mergeCell ref="Z4:AA4"/>
    <mergeCell ref="B4:B5"/>
    <mergeCell ref="AL4:AM4"/>
    <mergeCell ref="A1:BR1"/>
    <mergeCell ref="AD4:AE4"/>
    <mergeCell ref="AP4:AQ4"/>
    <mergeCell ref="N4:O4"/>
  </mergeCells>
  <conditionalFormatting sqref="D6:BM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 BL6:BL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 BM6:BM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P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9" customWidth="1" min="64" max="64"/>
    <col width="9" customWidth="1" min="65" max="65"/>
    <col width="9" customWidth="1" min="66" max="66"/>
    <col width="11" customWidth="1" min="67" max="67"/>
    <col width="11" customWidth="1" min="68" max="68"/>
  </cols>
  <sheetData>
    <row r="1" ht="32" customHeight="1">
      <c r="A1" s="1" t="inlineStr">
        <is>
          <t>HAZIRAN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20" customHeight="1">
      <c r="A2" s="25" t="inlineStr">
        <is>
          <t>Takvim gün sayısı: 30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Pzt</t>
        </is>
      </c>
      <c r="E4" s="23" t="n"/>
      <c r="F4" s="23" t="inlineStr">
        <is>
          <t>2
Sal</t>
        </is>
      </c>
      <c r="G4" s="23" t="n"/>
      <c r="H4" s="23" t="inlineStr">
        <is>
          <t>3
Çar</t>
        </is>
      </c>
      <c r="I4" s="23" t="n"/>
      <c r="J4" s="23" t="inlineStr">
        <is>
          <t>4
Per</t>
        </is>
      </c>
      <c r="K4" s="23" t="n"/>
      <c r="L4" s="23" t="inlineStr">
        <is>
          <t>5
Cum</t>
        </is>
      </c>
      <c r="M4" s="23" t="n"/>
      <c r="N4" s="49" t="inlineStr">
        <is>
          <t>6
Cmt</t>
        </is>
      </c>
      <c r="O4" s="49" t="n"/>
      <c r="P4" s="49" t="inlineStr">
        <is>
          <t>7
Paz</t>
        </is>
      </c>
      <c r="Q4" s="49" t="n"/>
      <c r="R4" s="23" t="inlineStr">
        <is>
          <t>8
Pzt</t>
        </is>
      </c>
      <c r="S4" s="23" t="n"/>
      <c r="T4" s="23" t="inlineStr">
        <is>
          <t>9
Sal</t>
        </is>
      </c>
      <c r="U4" s="23" t="n"/>
      <c r="V4" s="23" t="inlineStr">
        <is>
          <t>10
Çar</t>
        </is>
      </c>
      <c r="W4" s="23" t="n"/>
      <c r="X4" s="23" t="inlineStr">
        <is>
          <t>11
Per</t>
        </is>
      </c>
      <c r="Y4" s="23" t="n"/>
      <c r="Z4" s="23" t="inlineStr">
        <is>
          <t>12
Cum</t>
        </is>
      </c>
      <c r="AA4" s="23" t="n"/>
      <c r="AB4" s="49" t="inlineStr">
        <is>
          <t>13
Cmt</t>
        </is>
      </c>
      <c r="AC4" s="49" t="n"/>
      <c r="AD4" s="49" t="inlineStr">
        <is>
          <t>14
Paz</t>
        </is>
      </c>
      <c r="AE4" s="49" t="n"/>
      <c r="AF4" s="23" t="inlineStr">
        <is>
          <t>15
Pzt</t>
        </is>
      </c>
      <c r="AG4" s="23" t="n"/>
      <c r="AH4" s="23" t="inlineStr">
        <is>
          <t>16
Sal</t>
        </is>
      </c>
      <c r="AI4" s="23" t="n"/>
      <c r="AJ4" s="23" t="inlineStr">
        <is>
          <t>17
Çar</t>
        </is>
      </c>
      <c r="AK4" s="23" t="n"/>
      <c r="AL4" s="23" t="inlineStr">
        <is>
          <t>18
Per</t>
        </is>
      </c>
      <c r="AM4" s="23" t="n"/>
      <c r="AN4" s="23" t="inlineStr">
        <is>
          <t>19
Cum</t>
        </is>
      </c>
      <c r="AO4" s="23" t="n"/>
      <c r="AP4" s="49" t="inlineStr">
        <is>
          <t>20
Cmt</t>
        </is>
      </c>
      <c r="AQ4" s="49" t="n"/>
      <c r="AR4" s="49" t="inlineStr">
        <is>
          <t>21
Paz</t>
        </is>
      </c>
      <c r="AS4" s="49" t="n"/>
      <c r="AT4" s="23" t="inlineStr">
        <is>
          <t>22
Pzt</t>
        </is>
      </c>
      <c r="AU4" s="23" t="n"/>
      <c r="AV4" s="23" t="inlineStr">
        <is>
          <t>23
Sal</t>
        </is>
      </c>
      <c r="AW4" s="23" t="n"/>
      <c r="AX4" s="23" t="inlineStr">
        <is>
          <t>24
Çar</t>
        </is>
      </c>
      <c r="AY4" s="23" t="n"/>
      <c r="AZ4" s="23" t="inlineStr">
        <is>
          <t>25
Per</t>
        </is>
      </c>
      <c r="BA4" s="23" t="n"/>
      <c r="BB4" s="23" t="inlineStr">
        <is>
          <t>26
Cum</t>
        </is>
      </c>
      <c r="BC4" s="23" t="n"/>
      <c r="BD4" s="49" t="inlineStr">
        <is>
          <t>27
Cmt</t>
        </is>
      </c>
      <c r="BE4" s="49" t="n"/>
      <c r="BF4" s="49" t="inlineStr">
        <is>
          <t>28
Paz</t>
        </is>
      </c>
      <c r="BG4" s="49" t="n"/>
      <c r="BH4" s="23" t="inlineStr">
        <is>
          <t>29
Pzt</t>
        </is>
      </c>
      <c r="BI4" s="23" t="n"/>
      <c r="BJ4" s="23" t="inlineStr">
        <is>
          <t>30
Sal</t>
        </is>
      </c>
      <c r="BK4" s="23" t="n"/>
      <c r="BL4" s="50" t="inlineStr">
        <is>
          <t>Tam Gün
(+)</t>
        </is>
      </c>
      <c r="BM4" s="10" t="inlineStr">
        <is>
          <t>Yarım Gün
(x)</t>
        </is>
      </c>
      <c r="BN4" s="10" t="inlineStr">
        <is>
          <t>Gelmediği
Gün (-)</t>
        </is>
      </c>
      <c r="BO4" s="10" t="inlineStr">
        <is>
          <t>Fiili
Çalışılan Gün</t>
        </is>
      </c>
      <c r="BP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0" t="n"/>
      <c r="BM5" s="10" t="n"/>
      <c r="BN5" s="10" t="n"/>
      <c r="BO5" s="10" t="n"/>
      <c r="BP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n"/>
      <c r="E6" s="53" t="n"/>
      <c r="F6" s="52" t="n"/>
      <c r="G6" s="53" t="n"/>
      <c r="H6" s="52" t="n"/>
      <c r="I6" s="53" t="n"/>
      <c r="J6" s="52" t="n"/>
      <c r="K6" s="53" t="n"/>
      <c r="L6" s="52" t="n"/>
      <c r="M6" s="53" t="n"/>
      <c r="N6" s="54" t="n"/>
      <c r="O6" s="55" t="n"/>
      <c r="P6" s="54" t="n"/>
      <c r="Q6" s="55" t="n"/>
      <c r="R6" s="52" t="n"/>
      <c r="S6" s="53" t="n"/>
      <c r="T6" s="52" t="n"/>
      <c r="U6" s="53" t="n"/>
      <c r="V6" s="52" t="n"/>
      <c r="W6" s="53" t="n"/>
      <c r="X6" s="52" t="n"/>
      <c r="Y6" s="53" t="n"/>
      <c r="Z6" s="52" t="n"/>
      <c r="AA6" s="53" t="n"/>
      <c r="AB6" s="54" t="n"/>
      <c r="AC6" s="55" t="n"/>
      <c r="AD6" s="54" t="n"/>
      <c r="AE6" s="55" t="n"/>
      <c r="AF6" s="52" t="n"/>
      <c r="AG6" s="53" t="n"/>
      <c r="AH6" s="52" t="n"/>
      <c r="AI6" s="53" t="n"/>
      <c r="AJ6" s="52" t="n"/>
      <c r="AK6" s="53" t="n"/>
      <c r="AL6" s="52" t="n"/>
      <c r="AM6" s="53" t="n"/>
      <c r="AN6" s="52" t="n"/>
      <c r="AO6" s="53" t="n"/>
      <c r="AP6" s="54" t="n"/>
      <c r="AQ6" s="55" t="n"/>
      <c r="AR6" s="54" t="n"/>
      <c r="AS6" s="55" t="n"/>
      <c r="AT6" s="52" t="n"/>
      <c r="AU6" s="53" t="n"/>
      <c r="AV6" s="52" t="n"/>
      <c r="AW6" s="53" t="n"/>
      <c r="AX6" s="52" t="n"/>
      <c r="AY6" s="53" t="n"/>
      <c r="AZ6" s="52" t="n"/>
      <c r="BA6" s="53" t="n"/>
      <c r="BB6" s="52" t="n"/>
      <c r="BC6" s="53" t="n"/>
      <c r="BD6" s="54" t="n"/>
      <c r="BE6" s="55" t="n"/>
      <c r="BF6" s="54" t="n"/>
      <c r="BG6" s="55" t="n"/>
      <c r="BH6" s="52" t="n"/>
      <c r="BI6" s="53" t="n"/>
      <c r="BJ6" s="52" t="n"/>
      <c r="BK6" s="53" t="n"/>
      <c r="BL6" s="56">
        <f>IF($A6="","",COUNTIF(D6:BK6,"+"))</f>
        <v/>
      </c>
      <c r="BM6" s="57">
        <f>IF($A6="","",COUNTIF(D6:BK6,"x"))</f>
        <v/>
      </c>
      <c r="BN6" s="57">
        <f>IF($A6="","",COUNTIF(D6:BK6,"-"))</f>
        <v/>
      </c>
      <c r="BO6" s="58">
        <f>IF($A6="","",BL6+BM6*0.5)</f>
        <v/>
      </c>
      <c r="BP6" s="58">
        <f>IF($A6="","",SUM(E6,G6,I6,K6,M6,O6,Q6,S6,U6,W6,Y6,AA6,AC6,AE6,AG6,AI6,AK6,AM6,AO6,AQ6,AS6,AU6,AW6,AY6,BA6,BC6,BE6,BG6,BI6,BK6))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n"/>
      <c r="E7" s="60" t="n"/>
      <c r="F7" s="59" t="n"/>
      <c r="G7" s="60" t="n"/>
      <c r="H7" s="59" t="n"/>
      <c r="I7" s="60" t="n"/>
      <c r="J7" s="59" t="n"/>
      <c r="K7" s="60" t="n"/>
      <c r="L7" s="59" t="n"/>
      <c r="M7" s="60" t="n"/>
      <c r="N7" s="54" t="n"/>
      <c r="O7" s="55" t="n"/>
      <c r="P7" s="54" t="n"/>
      <c r="Q7" s="55" t="n"/>
      <c r="R7" s="59" t="n"/>
      <c r="S7" s="60" t="n"/>
      <c r="T7" s="59" t="n"/>
      <c r="U7" s="60" t="n"/>
      <c r="V7" s="59" t="n"/>
      <c r="W7" s="60" t="n"/>
      <c r="X7" s="59" t="n"/>
      <c r="Y7" s="60" t="n"/>
      <c r="Z7" s="59" t="n"/>
      <c r="AA7" s="60" t="n"/>
      <c r="AB7" s="54" t="n"/>
      <c r="AC7" s="55" t="n"/>
      <c r="AD7" s="54" t="n"/>
      <c r="AE7" s="55" t="n"/>
      <c r="AF7" s="59" t="n"/>
      <c r="AG7" s="60" t="n"/>
      <c r="AH7" s="59" t="n"/>
      <c r="AI7" s="60" t="n"/>
      <c r="AJ7" s="59" t="n"/>
      <c r="AK7" s="60" t="n"/>
      <c r="AL7" s="59" t="n"/>
      <c r="AM7" s="60" t="n"/>
      <c r="AN7" s="59" t="n"/>
      <c r="AO7" s="60" t="n"/>
      <c r="AP7" s="54" t="n"/>
      <c r="AQ7" s="55" t="n"/>
      <c r="AR7" s="54" t="n"/>
      <c r="AS7" s="55" t="n"/>
      <c r="AT7" s="59" t="n"/>
      <c r="AU7" s="60" t="n"/>
      <c r="AV7" s="59" t="n"/>
      <c r="AW7" s="60" t="n"/>
      <c r="AX7" s="59" t="n"/>
      <c r="AY7" s="60" t="n"/>
      <c r="AZ7" s="59" t="n"/>
      <c r="BA7" s="60" t="n"/>
      <c r="BB7" s="59" t="n"/>
      <c r="BC7" s="60" t="n"/>
      <c r="BD7" s="54" t="n"/>
      <c r="BE7" s="55" t="n"/>
      <c r="BF7" s="54" t="n"/>
      <c r="BG7" s="55" t="n"/>
      <c r="BH7" s="59" t="n"/>
      <c r="BI7" s="60" t="n"/>
      <c r="BJ7" s="59" t="n"/>
      <c r="BK7" s="60" t="n"/>
      <c r="BL7" s="56">
        <f>IF($A7="","",COUNTIF(D7:BK7,"+"))</f>
        <v/>
      </c>
      <c r="BM7" s="57">
        <f>IF($A7="","",COUNTIF(D7:BK7,"x"))</f>
        <v/>
      </c>
      <c r="BN7" s="57">
        <f>IF($A7="","",COUNTIF(D7:BK7,"-"))</f>
        <v/>
      </c>
      <c r="BO7" s="58">
        <f>IF($A7="","",BL7+BM7*0.5)</f>
        <v/>
      </c>
      <c r="BP7" s="58">
        <f>IF($A7="","",SUM(E7,G7,I7,K7,M7,O7,Q7,S7,U7,W7,Y7,AA7,AC7,AE7,AG7,AI7,AK7,AM7,AO7,AQ7,AS7,AU7,AW7,AY7,BA7,BC7,BE7,BG7,BI7,BK7))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n"/>
      <c r="E8" s="53" t="n"/>
      <c r="F8" s="52" t="n"/>
      <c r="G8" s="53" t="n"/>
      <c r="H8" s="52" t="n"/>
      <c r="I8" s="53" t="n"/>
      <c r="J8" s="52" t="n"/>
      <c r="K8" s="53" t="n"/>
      <c r="L8" s="52" t="n"/>
      <c r="M8" s="53" t="n"/>
      <c r="N8" s="54" t="n"/>
      <c r="O8" s="55" t="n"/>
      <c r="P8" s="54" t="n"/>
      <c r="Q8" s="55" t="n"/>
      <c r="R8" s="52" t="n"/>
      <c r="S8" s="53" t="n"/>
      <c r="T8" s="52" t="n"/>
      <c r="U8" s="53" t="n"/>
      <c r="V8" s="52" t="n"/>
      <c r="W8" s="53" t="n"/>
      <c r="X8" s="52" t="n"/>
      <c r="Y8" s="53" t="n"/>
      <c r="Z8" s="52" t="n"/>
      <c r="AA8" s="53" t="n"/>
      <c r="AB8" s="54" t="n"/>
      <c r="AC8" s="55" t="n"/>
      <c r="AD8" s="54" t="n"/>
      <c r="AE8" s="55" t="n"/>
      <c r="AF8" s="52" t="n"/>
      <c r="AG8" s="53" t="n"/>
      <c r="AH8" s="52" t="n"/>
      <c r="AI8" s="53" t="n"/>
      <c r="AJ8" s="52" t="n"/>
      <c r="AK8" s="53" t="n"/>
      <c r="AL8" s="52" t="n"/>
      <c r="AM8" s="53" t="n"/>
      <c r="AN8" s="52" t="n"/>
      <c r="AO8" s="53" t="n"/>
      <c r="AP8" s="54" t="n"/>
      <c r="AQ8" s="55" t="n"/>
      <c r="AR8" s="54" t="n"/>
      <c r="AS8" s="55" t="n"/>
      <c r="AT8" s="52" t="n"/>
      <c r="AU8" s="53" t="n"/>
      <c r="AV8" s="52" t="n"/>
      <c r="AW8" s="53" t="n"/>
      <c r="AX8" s="52" t="n"/>
      <c r="AY8" s="53" t="n"/>
      <c r="AZ8" s="52" t="n"/>
      <c r="BA8" s="53" t="n"/>
      <c r="BB8" s="52" t="n"/>
      <c r="BC8" s="53" t="n"/>
      <c r="BD8" s="54" t="n"/>
      <c r="BE8" s="55" t="n"/>
      <c r="BF8" s="54" t="n"/>
      <c r="BG8" s="55" t="n"/>
      <c r="BH8" s="52" t="n"/>
      <c r="BI8" s="53" t="n"/>
      <c r="BJ8" s="52" t="n"/>
      <c r="BK8" s="53" t="n"/>
      <c r="BL8" s="56">
        <f>IF($A8="","",COUNTIF(D8:BK8,"+"))</f>
        <v/>
      </c>
      <c r="BM8" s="57">
        <f>IF($A8="","",COUNTIF(D8:BK8,"x"))</f>
        <v/>
      </c>
      <c r="BN8" s="57">
        <f>IF($A8="","",COUNTIF(D8:BK8,"-"))</f>
        <v/>
      </c>
      <c r="BO8" s="58">
        <f>IF($A8="","",BL8+BM8*0.5)</f>
        <v/>
      </c>
      <c r="BP8" s="58">
        <f>IF($A8="","",SUM(E8,G8,I8,K8,M8,O8,Q8,S8,U8,W8,Y8,AA8,AC8,AE8,AG8,AI8,AK8,AM8,AO8,AQ8,AS8,AU8,AW8,AY8,BA8,BC8,BE8,BG8,BI8,BK8))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n"/>
      <c r="E9" s="60" t="n"/>
      <c r="F9" s="59" t="n"/>
      <c r="G9" s="60" t="n"/>
      <c r="H9" s="59" t="n"/>
      <c r="I9" s="60" t="n"/>
      <c r="J9" s="59" t="n"/>
      <c r="K9" s="60" t="n"/>
      <c r="L9" s="59" t="n"/>
      <c r="M9" s="60" t="n"/>
      <c r="N9" s="54" t="n"/>
      <c r="O9" s="55" t="n"/>
      <c r="P9" s="54" t="n"/>
      <c r="Q9" s="55" t="n"/>
      <c r="R9" s="59" t="n"/>
      <c r="S9" s="60" t="n"/>
      <c r="T9" s="59" t="n"/>
      <c r="U9" s="60" t="n"/>
      <c r="V9" s="59" t="n"/>
      <c r="W9" s="60" t="n"/>
      <c r="X9" s="59" t="n"/>
      <c r="Y9" s="60" t="n"/>
      <c r="Z9" s="59" t="n"/>
      <c r="AA9" s="60" t="n"/>
      <c r="AB9" s="54" t="n"/>
      <c r="AC9" s="55" t="n"/>
      <c r="AD9" s="54" t="n"/>
      <c r="AE9" s="55" t="n"/>
      <c r="AF9" s="59" t="n"/>
      <c r="AG9" s="60" t="n"/>
      <c r="AH9" s="59" t="n"/>
      <c r="AI9" s="60" t="n"/>
      <c r="AJ9" s="59" t="n"/>
      <c r="AK9" s="60" t="n"/>
      <c r="AL9" s="59" t="n"/>
      <c r="AM9" s="60" t="n"/>
      <c r="AN9" s="59" t="n"/>
      <c r="AO9" s="60" t="n"/>
      <c r="AP9" s="54" t="n"/>
      <c r="AQ9" s="55" t="n"/>
      <c r="AR9" s="54" t="n"/>
      <c r="AS9" s="55" t="n"/>
      <c r="AT9" s="59" t="n"/>
      <c r="AU9" s="60" t="n"/>
      <c r="AV9" s="59" t="n"/>
      <c r="AW9" s="60" t="n"/>
      <c r="AX9" s="59" t="n"/>
      <c r="AY9" s="60" t="n"/>
      <c r="AZ9" s="59" t="n"/>
      <c r="BA9" s="60" t="n"/>
      <c r="BB9" s="59" t="n"/>
      <c r="BC9" s="60" t="n"/>
      <c r="BD9" s="54" t="n"/>
      <c r="BE9" s="55" t="n"/>
      <c r="BF9" s="54" t="n"/>
      <c r="BG9" s="55" t="n"/>
      <c r="BH9" s="59" t="n"/>
      <c r="BI9" s="60" t="n"/>
      <c r="BJ9" s="59" t="n"/>
      <c r="BK9" s="60" t="n"/>
      <c r="BL9" s="56">
        <f>IF($A9="","",COUNTIF(D9:BK9,"+"))</f>
        <v/>
      </c>
      <c r="BM9" s="57">
        <f>IF($A9="","",COUNTIF(D9:BK9,"x"))</f>
        <v/>
      </c>
      <c r="BN9" s="57">
        <f>IF($A9="","",COUNTIF(D9:BK9,"-"))</f>
        <v/>
      </c>
      <c r="BO9" s="58">
        <f>IF($A9="","",BL9+BM9*0.5)</f>
        <v/>
      </c>
      <c r="BP9" s="58">
        <f>IF($A9="","",SUM(E9,G9,I9,K9,M9,O9,Q9,S9,U9,W9,Y9,AA9,AC9,AE9,AG9,AI9,AK9,AM9,AO9,AQ9,AS9,AU9,AW9,AY9,BA9,BC9,BE9,BG9,BI9,BK9))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n"/>
      <c r="E10" s="53" t="n"/>
      <c r="F10" s="52" t="n"/>
      <c r="G10" s="53" t="n"/>
      <c r="H10" s="52" t="n"/>
      <c r="I10" s="53" t="n"/>
      <c r="J10" s="52" t="n"/>
      <c r="K10" s="53" t="n"/>
      <c r="L10" s="52" t="n"/>
      <c r="M10" s="53" t="n"/>
      <c r="N10" s="54" t="n"/>
      <c r="O10" s="55" t="n"/>
      <c r="P10" s="54" t="n"/>
      <c r="Q10" s="55" t="n"/>
      <c r="R10" s="52" t="n"/>
      <c r="S10" s="53" t="n"/>
      <c r="T10" s="52" t="n"/>
      <c r="U10" s="53" t="n"/>
      <c r="V10" s="52" t="n"/>
      <c r="W10" s="53" t="n"/>
      <c r="X10" s="52" t="n"/>
      <c r="Y10" s="53" t="n"/>
      <c r="Z10" s="52" t="n"/>
      <c r="AA10" s="53" t="n"/>
      <c r="AB10" s="54" t="n"/>
      <c r="AC10" s="55" t="n"/>
      <c r="AD10" s="54" t="n"/>
      <c r="AE10" s="55" t="n"/>
      <c r="AF10" s="52" t="n"/>
      <c r="AG10" s="53" t="n"/>
      <c r="AH10" s="52" t="n"/>
      <c r="AI10" s="53" t="n"/>
      <c r="AJ10" s="52" t="n"/>
      <c r="AK10" s="53" t="n"/>
      <c r="AL10" s="52" t="n"/>
      <c r="AM10" s="53" t="n"/>
      <c r="AN10" s="52" t="n"/>
      <c r="AO10" s="53" t="n"/>
      <c r="AP10" s="54" t="n"/>
      <c r="AQ10" s="55" t="n"/>
      <c r="AR10" s="54" t="n"/>
      <c r="AS10" s="55" t="n"/>
      <c r="AT10" s="52" t="n"/>
      <c r="AU10" s="53" t="n"/>
      <c r="AV10" s="52" t="n"/>
      <c r="AW10" s="53" t="n"/>
      <c r="AX10" s="52" t="n"/>
      <c r="AY10" s="53" t="n"/>
      <c r="AZ10" s="52" t="n"/>
      <c r="BA10" s="53" t="n"/>
      <c r="BB10" s="52" t="n"/>
      <c r="BC10" s="53" t="n"/>
      <c r="BD10" s="54" t="n"/>
      <c r="BE10" s="55" t="n"/>
      <c r="BF10" s="54" t="n"/>
      <c r="BG10" s="55" t="n"/>
      <c r="BH10" s="52" t="n"/>
      <c r="BI10" s="53" t="n"/>
      <c r="BJ10" s="52" t="n"/>
      <c r="BK10" s="53" t="n"/>
      <c r="BL10" s="56">
        <f>IF($A10="","",COUNTIF(D10:BK10,"+"))</f>
        <v/>
      </c>
      <c r="BM10" s="57">
        <f>IF($A10="","",COUNTIF(D10:BK10,"x"))</f>
        <v/>
      </c>
      <c r="BN10" s="57">
        <f>IF($A10="","",COUNTIF(D10:BK10,"-"))</f>
        <v/>
      </c>
      <c r="BO10" s="58">
        <f>IF($A10="","",BL10+BM10*0.5)</f>
        <v/>
      </c>
      <c r="BP10" s="58">
        <f>IF($A10="","",SUM(E10,G10,I10,K10,M10,O10,Q10,S10,U10,W10,Y10,AA10,AC10,AE10,AG10,AI10,AK10,AM10,AO10,AQ10,AS10,AU10,AW10,AY10,BA10,BC10,BE10,BG10,BI10,BK10))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n"/>
      <c r="E11" s="60" t="n"/>
      <c r="F11" s="59" t="n"/>
      <c r="G11" s="60" t="n"/>
      <c r="H11" s="59" t="n"/>
      <c r="I11" s="60" t="n"/>
      <c r="J11" s="59" t="n"/>
      <c r="K11" s="60" t="n"/>
      <c r="L11" s="59" t="n"/>
      <c r="M11" s="60" t="n"/>
      <c r="N11" s="54" t="n"/>
      <c r="O11" s="55" t="n"/>
      <c r="P11" s="54" t="n"/>
      <c r="Q11" s="55" t="n"/>
      <c r="R11" s="59" t="n"/>
      <c r="S11" s="60" t="n"/>
      <c r="T11" s="59" t="n"/>
      <c r="U11" s="60" t="n"/>
      <c r="V11" s="59" t="n"/>
      <c r="W11" s="60" t="n"/>
      <c r="X11" s="59" t="n"/>
      <c r="Y11" s="60" t="n"/>
      <c r="Z11" s="59" t="n"/>
      <c r="AA11" s="60" t="n"/>
      <c r="AB11" s="54" t="n"/>
      <c r="AC11" s="55" t="n"/>
      <c r="AD11" s="54" t="n"/>
      <c r="AE11" s="55" t="n"/>
      <c r="AF11" s="59" t="n"/>
      <c r="AG11" s="60" t="n"/>
      <c r="AH11" s="59" t="n"/>
      <c r="AI11" s="60" t="n"/>
      <c r="AJ11" s="59" t="n"/>
      <c r="AK11" s="60" t="n"/>
      <c r="AL11" s="59" t="n"/>
      <c r="AM11" s="60" t="n"/>
      <c r="AN11" s="59" t="n"/>
      <c r="AO11" s="60" t="n"/>
      <c r="AP11" s="54" t="n"/>
      <c r="AQ11" s="55" t="n"/>
      <c r="AR11" s="54" t="n"/>
      <c r="AS11" s="55" t="n"/>
      <c r="AT11" s="59" t="n"/>
      <c r="AU11" s="60" t="n"/>
      <c r="AV11" s="59" t="n"/>
      <c r="AW11" s="60" t="n"/>
      <c r="AX11" s="59" t="n"/>
      <c r="AY11" s="60" t="n"/>
      <c r="AZ11" s="59" t="n"/>
      <c r="BA11" s="60" t="n"/>
      <c r="BB11" s="59" t="n"/>
      <c r="BC11" s="60" t="n"/>
      <c r="BD11" s="54" t="n"/>
      <c r="BE11" s="55" t="n"/>
      <c r="BF11" s="54" t="n"/>
      <c r="BG11" s="55" t="n"/>
      <c r="BH11" s="59" t="n"/>
      <c r="BI11" s="60" t="n"/>
      <c r="BJ11" s="59" t="n"/>
      <c r="BK11" s="60" t="n"/>
      <c r="BL11" s="56">
        <f>IF($A11="","",COUNTIF(D11:BK11,"+"))</f>
        <v/>
      </c>
      <c r="BM11" s="57">
        <f>IF($A11="","",COUNTIF(D11:BK11,"x"))</f>
        <v/>
      </c>
      <c r="BN11" s="57">
        <f>IF($A11="","",COUNTIF(D11:BK11,"-"))</f>
        <v/>
      </c>
      <c r="BO11" s="58">
        <f>IF($A11="","",BL11+BM11*0.5)</f>
        <v/>
      </c>
      <c r="BP11" s="58">
        <f>IF($A11="","",SUM(E11,G11,I11,K11,M11,O11,Q11,S11,U11,W11,Y11,AA11,AC11,AE11,AG11,AI11,AK11,AM11,AO11,AQ11,AS11,AU11,AW11,AY11,BA11,BC11,BE11,BG11,BI11,BK11))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n"/>
      <c r="E12" s="53" t="n"/>
      <c r="F12" s="52" t="n"/>
      <c r="G12" s="53" t="n"/>
      <c r="H12" s="52" t="n"/>
      <c r="I12" s="53" t="n"/>
      <c r="J12" s="52" t="n"/>
      <c r="K12" s="53" t="n"/>
      <c r="L12" s="52" t="n"/>
      <c r="M12" s="53" t="n"/>
      <c r="N12" s="54" t="n"/>
      <c r="O12" s="55" t="n"/>
      <c r="P12" s="54" t="n"/>
      <c r="Q12" s="55" t="n"/>
      <c r="R12" s="52" t="n"/>
      <c r="S12" s="53" t="n"/>
      <c r="T12" s="52" t="n"/>
      <c r="U12" s="53" t="n"/>
      <c r="V12" s="52" t="n"/>
      <c r="W12" s="53" t="n"/>
      <c r="X12" s="52" t="n"/>
      <c r="Y12" s="53" t="n"/>
      <c r="Z12" s="52" t="n"/>
      <c r="AA12" s="53" t="n"/>
      <c r="AB12" s="54" t="n"/>
      <c r="AC12" s="55" t="n"/>
      <c r="AD12" s="54" t="n"/>
      <c r="AE12" s="55" t="n"/>
      <c r="AF12" s="52" t="n"/>
      <c r="AG12" s="53" t="n"/>
      <c r="AH12" s="52" t="n"/>
      <c r="AI12" s="53" t="n"/>
      <c r="AJ12" s="52" t="n"/>
      <c r="AK12" s="53" t="n"/>
      <c r="AL12" s="52" t="n"/>
      <c r="AM12" s="53" t="n"/>
      <c r="AN12" s="52" t="n"/>
      <c r="AO12" s="53" t="n"/>
      <c r="AP12" s="54" t="n"/>
      <c r="AQ12" s="55" t="n"/>
      <c r="AR12" s="54" t="n"/>
      <c r="AS12" s="55" t="n"/>
      <c r="AT12" s="52" t="n"/>
      <c r="AU12" s="53" t="n"/>
      <c r="AV12" s="52" t="n"/>
      <c r="AW12" s="53" t="n"/>
      <c r="AX12" s="52" t="n"/>
      <c r="AY12" s="53" t="n"/>
      <c r="AZ12" s="52" t="n"/>
      <c r="BA12" s="53" t="n"/>
      <c r="BB12" s="52" t="n"/>
      <c r="BC12" s="53" t="n"/>
      <c r="BD12" s="54" t="n"/>
      <c r="BE12" s="55" t="n"/>
      <c r="BF12" s="54" t="n"/>
      <c r="BG12" s="55" t="n"/>
      <c r="BH12" s="52" t="n"/>
      <c r="BI12" s="53" t="n"/>
      <c r="BJ12" s="52" t="n"/>
      <c r="BK12" s="53" t="n"/>
      <c r="BL12" s="56">
        <f>IF($A12="","",COUNTIF(D12:BK12,"+"))</f>
        <v/>
      </c>
      <c r="BM12" s="57">
        <f>IF($A12="","",COUNTIF(D12:BK12,"x"))</f>
        <v/>
      </c>
      <c r="BN12" s="57">
        <f>IF($A12="","",COUNTIF(D12:BK12,"-"))</f>
        <v/>
      </c>
      <c r="BO12" s="58">
        <f>IF($A12="","",BL12+BM12*0.5)</f>
        <v/>
      </c>
      <c r="BP12" s="58">
        <f>IF($A12="","",SUM(E12,G12,I12,K12,M12,O12,Q12,S12,U12,W12,Y12,AA12,AC12,AE12,AG12,AI12,AK12,AM12,AO12,AQ12,AS12,AU12,AW12,AY12,BA12,BC12,BE12,BG12,BI12,BK12))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9" t="n"/>
      <c r="G13" s="60" t="n"/>
      <c r="H13" s="59" t="n"/>
      <c r="I13" s="60" t="n"/>
      <c r="J13" s="59" t="n"/>
      <c r="K13" s="60" t="n"/>
      <c r="L13" s="59" t="n"/>
      <c r="M13" s="60" t="n"/>
      <c r="N13" s="54" t="n"/>
      <c r="O13" s="55" t="n"/>
      <c r="P13" s="54" t="n"/>
      <c r="Q13" s="55" t="n"/>
      <c r="R13" s="59" t="n"/>
      <c r="S13" s="60" t="n"/>
      <c r="T13" s="59" t="n"/>
      <c r="U13" s="60" t="n"/>
      <c r="V13" s="59" t="n"/>
      <c r="W13" s="60" t="n"/>
      <c r="X13" s="59" t="n"/>
      <c r="Y13" s="60" t="n"/>
      <c r="Z13" s="59" t="n"/>
      <c r="AA13" s="60" t="n"/>
      <c r="AB13" s="54" t="n"/>
      <c r="AC13" s="55" t="n"/>
      <c r="AD13" s="54" t="n"/>
      <c r="AE13" s="55" t="n"/>
      <c r="AF13" s="59" t="n"/>
      <c r="AG13" s="60" t="n"/>
      <c r="AH13" s="59" t="n"/>
      <c r="AI13" s="60" t="n"/>
      <c r="AJ13" s="59" t="n"/>
      <c r="AK13" s="60" t="n"/>
      <c r="AL13" s="59" t="n"/>
      <c r="AM13" s="60" t="n"/>
      <c r="AN13" s="59" t="n"/>
      <c r="AO13" s="60" t="n"/>
      <c r="AP13" s="54" t="n"/>
      <c r="AQ13" s="55" t="n"/>
      <c r="AR13" s="54" t="n"/>
      <c r="AS13" s="55" t="n"/>
      <c r="AT13" s="59" t="n"/>
      <c r="AU13" s="60" t="n"/>
      <c r="AV13" s="59" t="n"/>
      <c r="AW13" s="60" t="n"/>
      <c r="AX13" s="59" t="n"/>
      <c r="AY13" s="60" t="n"/>
      <c r="AZ13" s="59" t="n"/>
      <c r="BA13" s="60" t="n"/>
      <c r="BB13" s="59" t="n"/>
      <c r="BC13" s="60" t="n"/>
      <c r="BD13" s="54" t="n"/>
      <c r="BE13" s="55" t="n"/>
      <c r="BF13" s="54" t="n"/>
      <c r="BG13" s="55" t="n"/>
      <c r="BH13" s="59" t="n"/>
      <c r="BI13" s="60" t="n"/>
      <c r="BJ13" s="59" t="n"/>
      <c r="BK13" s="60" t="n"/>
      <c r="BL13" s="56">
        <f>IF($A13="","",COUNTIF(D13:BK13,"+"))</f>
        <v/>
      </c>
      <c r="BM13" s="57">
        <f>IF($A13="","",COUNTIF(D13:BK13,"x"))</f>
        <v/>
      </c>
      <c r="BN13" s="57">
        <f>IF($A13="","",COUNTIF(D13:BK13,"-"))</f>
        <v/>
      </c>
      <c r="BO13" s="58">
        <f>IF($A13="","",BL13+BM13*0.5)</f>
        <v/>
      </c>
      <c r="BP13" s="58">
        <f>IF($A13="","",SUM(E13,G13,I13,K13,M13,O13,Q13,S13,U13,W13,Y13,AA13,AC13,AE13,AG13,AI13,AK13,AM13,AO13,AQ13,AS13,AU13,AW13,AY13,BA13,BC13,BE13,BG13,BI13,BK13))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2" t="n"/>
      <c r="G14" s="53" t="n"/>
      <c r="H14" s="52" t="n"/>
      <c r="I14" s="53" t="n"/>
      <c r="J14" s="52" t="n"/>
      <c r="K14" s="53" t="n"/>
      <c r="L14" s="52" t="n"/>
      <c r="M14" s="53" t="n"/>
      <c r="N14" s="54" t="n"/>
      <c r="O14" s="55" t="n"/>
      <c r="P14" s="54" t="n"/>
      <c r="Q14" s="55" t="n"/>
      <c r="R14" s="52" t="n"/>
      <c r="S14" s="53" t="n"/>
      <c r="T14" s="52" t="n"/>
      <c r="U14" s="53" t="n"/>
      <c r="V14" s="52" t="n"/>
      <c r="W14" s="53" t="n"/>
      <c r="X14" s="52" t="n"/>
      <c r="Y14" s="53" t="n"/>
      <c r="Z14" s="52" t="n"/>
      <c r="AA14" s="53" t="n"/>
      <c r="AB14" s="54" t="n"/>
      <c r="AC14" s="55" t="n"/>
      <c r="AD14" s="54" t="n"/>
      <c r="AE14" s="55" t="n"/>
      <c r="AF14" s="52" t="n"/>
      <c r="AG14" s="53" t="n"/>
      <c r="AH14" s="52" t="n"/>
      <c r="AI14" s="53" t="n"/>
      <c r="AJ14" s="52" t="n"/>
      <c r="AK14" s="53" t="n"/>
      <c r="AL14" s="52" t="n"/>
      <c r="AM14" s="53" t="n"/>
      <c r="AN14" s="52" t="n"/>
      <c r="AO14" s="53" t="n"/>
      <c r="AP14" s="54" t="n"/>
      <c r="AQ14" s="55" t="n"/>
      <c r="AR14" s="54" t="n"/>
      <c r="AS14" s="55" t="n"/>
      <c r="AT14" s="52" t="n"/>
      <c r="AU14" s="53" t="n"/>
      <c r="AV14" s="52" t="n"/>
      <c r="AW14" s="53" t="n"/>
      <c r="AX14" s="52" t="n"/>
      <c r="AY14" s="53" t="n"/>
      <c r="AZ14" s="52" t="n"/>
      <c r="BA14" s="53" t="n"/>
      <c r="BB14" s="52" t="n"/>
      <c r="BC14" s="53" t="n"/>
      <c r="BD14" s="54" t="n"/>
      <c r="BE14" s="55" t="n"/>
      <c r="BF14" s="54" t="n"/>
      <c r="BG14" s="55" t="n"/>
      <c r="BH14" s="52" t="n"/>
      <c r="BI14" s="53" t="n"/>
      <c r="BJ14" s="52" t="n"/>
      <c r="BK14" s="53" t="n"/>
      <c r="BL14" s="56">
        <f>IF($A14="","",COUNTIF(D14:BK14,"+"))</f>
        <v/>
      </c>
      <c r="BM14" s="57">
        <f>IF($A14="","",COUNTIF(D14:BK14,"x"))</f>
        <v/>
      </c>
      <c r="BN14" s="57">
        <f>IF($A14="","",COUNTIF(D14:BK14,"-"))</f>
        <v/>
      </c>
      <c r="BO14" s="58">
        <f>IF($A14="","",BL14+BM14*0.5)</f>
        <v/>
      </c>
      <c r="BP14" s="58">
        <f>IF($A14="","",SUM(E14,G14,I14,K14,M14,O14,Q14,S14,U14,W14,Y14,AA14,AC14,AE14,AG14,AI14,AK14,AM14,AO14,AQ14,AS14,AU14,AW14,AY14,BA14,BC14,BE14,BG14,BI14,BK14))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9" t="n"/>
      <c r="G15" s="60" t="n"/>
      <c r="H15" s="59" t="n"/>
      <c r="I15" s="60" t="n"/>
      <c r="J15" s="59" t="n"/>
      <c r="K15" s="60" t="n"/>
      <c r="L15" s="59" t="n"/>
      <c r="M15" s="60" t="n"/>
      <c r="N15" s="54" t="n"/>
      <c r="O15" s="55" t="n"/>
      <c r="P15" s="54" t="n"/>
      <c r="Q15" s="55" t="n"/>
      <c r="R15" s="59" t="n"/>
      <c r="S15" s="60" t="n"/>
      <c r="T15" s="59" t="n"/>
      <c r="U15" s="60" t="n"/>
      <c r="V15" s="59" t="n"/>
      <c r="W15" s="60" t="n"/>
      <c r="X15" s="59" t="n"/>
      <c r="Y15" s="60" t="n"/>
      <c r="Z15" s="59" t="n"/>
      <c r="AA15" s="60" t="n"/>
      <c r="AB15" s="54" t="n"/>
      <c r="AC15" s="55" t="n"/>
      <c r="AD15" s="54" t="n"/>
      <c r="AE15" s="55" t="n"/>
      <c r="AF15" s="59" t="n"/>
      <c r="AG15" s="60" t="n"/>
      <c r="AH15" s="59" t="n"/>
      <c r="AI15" s="60" t="n"/>
      <c r="AJ15" s="59" t="n"/>
      <c r="AK15" s="60" t="n"/>
      <c r="AL15" s="59" t="n"/>
      <c r="AM15" s="60" t="n"/>
      <c r="AN15" s="59" t="n"/>
      <c r="AO15" s="60" t="n"/>
      <c r="AP15" s="54" t="n"/>
      <c r="AQ15" s="55" t="n"/>
      <c r="AR15" s="54" t="n"/>
      <c r="AS15" s="55" t="n"/>
      <c r="AT15" s="59" t="n"/>
      <c r="AU15" s="60" t="n"/>
      <c r="AV15" s="59" t="n"/>
      <c r="AW15" s="60" t="n"/>
      <c r="AX15" s="59" t="n"/>
      <c r="AY15" s="60" t="n"/>
      <c r="AZ15" s="59" t="n"/>
      <c r="BA15" s="60" t="n"/>
      <c r="BB15" s="59" t="n"/>
      <c r="BC15" s="60" t="n"/>
      <c r="BD15" s="54" t="n"/>
      <c r="BE15" s="55" t="n"/>
      <c r="BF15" s="54" t="n"/>
      <c r="BG15" s="55" t="n"/>
      <c r="BH15" s="59" t="n"/>
      <c r="BI15" s="60" t="n"/>
      <c r="BJ15" s="59" t="n"/>
      <c r="BK15" s="60" t="n"/>
      <c r="BL15" s="56">
        <f>IF($A15="","",COUNTIF(D15:BK15,"+"))</f>
        <v/>
      </c>
      <c r="BM15" s="57">
        <f>IF($A15="","",COUNTIF(D15:BK15,"x"))</f>
        <v/>
      </c>
      <c r="BN15" s="57">
        <f>IF($A15="","",COUNTIF(D15:BK15,"-"))</f>
        <v/>
      </c>
      <c r="BO15" s="58">
        <f>IF($A15="","",BL15+BM15*0.5)</f>
        <v/>
      </c>
      <c r="BP15" s="58">
        <f>IF($A15="","",SUM(E15,G15,I15,K15,M15,O15,Q15,S15,U15,W15,Y15,AA15,AC15,AE15,AG15,AI15,AK15,AM15,AO15,AQ15,AS15,AU15,AW15,AY15,BA15,BC15,BE15,BG15,BI15,BK15))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2" t="n"/>
      <c r="G16" s="53" t="n"/>
      <c r="H16" s="52" t="n"/>
      <c r="I16" s="53" t="n"/>
      <c r="J16" s="52" t="n"/>
      <c r="K16" s="53" t="n"/>
      <c r="L16" s="52" t="n"/>
      <c r="M16" s="53" t="n"/>
      <c r="N16" s="54" t="n"/>
      <c r="O16" s="55" t="n"/>
      <c r="P16" s="54" t="n"/>
      <c r="Q16" s="55" t="n"/>
      <c r="R16" s="52" t="n"/>
      <c r="S16" s="53" t="n"/>
      <c r="T16" s="52" t="n"/>
      <c r="U16" s="53" t="n"/>
      <c r="V16" s="52" t="n"/>
      <c r="W16" s="53" t="n"/>
      <c r="X16" s="52" t="n"/>
      <c r="Y16" s="53" t="n"/>
      <c r="Z16" s="52" t="n"/>
      <c r="AA16" s="53" t="n"/>
      <c r="AB16" s="54" t="n"/>
      <c r="AC16" s="55" t="n"/>
      <c r="AD16" s="54" t="n"/>
      <c r="AE16" s="55" t="n"/>
      <c r="AF16" s="52" t="n"/>
      <c r="AG16" s="53" t="n"/>
      <c r="AH16" s="52" t="n"/>
      <c r="AI16" s="53" t="n"/>
      <c r="AJ16" s="52" t="n"/>
      <c r="AK16" s="53" t="n"/>
      <c r="AL16" s="52" t="n"/>
      <c r="AM16" s="53" t="n"/>
      <c r="AN16" s="52" t="n"/>
      <c r="AO16" s="53" t="n"/>
      <c r="AP16" s="54" t="n"/>
      <c r="AQ16" s="55" t="n"/>
      <c r="AR16" s="54" t="n"/>
      <c r="AS16" s="55" t="n"/>
      <c r="AT16" s="52" t="n"/>
      <c r="AU16" s="53" t="n"/>
      <c r="AV16" s="52" t="n"/>
      <c r="AW16" s="53" t="n"/>
      <c r="AX16" s="52" t="n"/>
      <c r="AY16" s="53" t="n"/>
      <c r="AZ16" s="52" t="n"/>
      <c r="BA16" s="53" t="n"/>
      <c r="BB16" s="52" t="n"/>
      <c r="BC16" s="53" t="n"/>
      <c r="BD16" s="54" t="n"/>
      <c r="BE16" s="55" t="n"/>
      <c r="BF16" s="54" t="n"/>
      <c r="BG16" s="55" t="n"/>
      <c r="BH16" s="52" t="n"/>
      <c r="BI16" s="53" t="n"/>
      <c r="BJ16" s="52" t="n"/>
      <c r="BK16" s="53" t="n"/>
      <c r="BL16" s="56">
        <f>IF($A16="","",COUNTIF(D16:BK16,"+"))</f>
        <v/>
      </c>
      <c r="BM16" s="57">
        <f>IF($A16="","",COUNTIF(D16:BK16,"x"))</f>
        <v/>
      </c>
      <c r="BN16" s="57">
        <f>IF($A16="","",COUNTIF(D16:BK16,"-"))</f>
        <v/>
      </c>
      <c r="BO16" s="58">
        <f>IF($A16="","",BL16+BM16*0.5)</f>
        <v/>
      </c>
      <c r="BP16" s="58">
        <f>IF($A16="","",SUM(E16,G16,I16,K16,M16,O16,Q16,S16,U16,W16,Y16,AA16,AC16,AE16,AG16,AI16,AK16,AM16,AO16,AQ16,AS16,AU16,AW16,AY16,BA16,BC16,BE16,BG16,BI16,BK16))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9" t="n"/>
      <c r="G17" s="60" t="n"/>
      <c r="H17" s="59" t="n"/>
      <c r="I17" s="60" t="n"/>
      <c r="J17" s="59" t="n"/>
      <c r="K17" s="60" t="n"/>
      <c r="L17" s="59" t="n"/>
      <c r="M17" s="60" t="n"/>
      <c r="N17" s="54" t="n"/>
      <c r="O17" s="55" t="n"/>
      <c r="P17" s="54" t="n"/>
      <c r="Q17" s="55" t="n"/>
      <c r="R17" s="59" t="n"/>
      <c r="S17" s="60" t="n"/>
      <c r="T17" s="59" t="n"/>
      <c r="U17" s="60" t="n"/>
      <c r="V17" s="59" t="n"/>
      <c r="W17" s="60" t="n"/>
      <c r="X17" s="59" t="n"/>
      <c r="Y17" s="60" t="n"/>
      <c r="Z17" s="59" t="n"/>
      <c r="AA17" s="60" t="n"/>
      <c r="AB17" s="54" t="n"/>
      <c r="AC17" s="55" t="n"/>
      <c r="AD17" s="54" t="n"/>
      <c r="AE17" s="55" t="n"/>
      <c r="AF17" s="59" t="n"/>
      <c r="AG17" s="60" t="n"/>
      <c r="AH17" s="59" t="n"/>
      <c r="AI17" s="60" t="n"/>
      <c r="AJ17" s="59" t="n"/>
      <c r="AK17" s="60" t="n"/>
      <c r="AL17" s="59" t="n"/>
      <c r="AM17" s="60" t="n"/>
      <c r="AN17" s="59" t="n"/>
      <c r="AO17" s="60" t="n"/>
      <c r="AP17" s="54" t="n"/>
      <c r="AQ17" s="55" t="n"/>
      <c r="AR17" s="54" t="n"/>
      <c r="AS17" s="55" t="n"/>
      <c r="AT17" s="59" t="n"/>
      <c r="AU17" s="60" t="n"/>
      <c r="AV17" s="59" t="n"/>
      <c r="AW17" s="60" t="n"/>
      <c r="AX17" s="59" t="n"/>
      <c r="AY17" s="60" t="n"/>
      <c r="AZ17" s="59" t="n"/>
      <c r="BA17" s="60" t="n"/>
      <c r="BB17" s="59" t="n"/>
      <c r="BC17" s="60" t="n"/>
      <c r="BD17" s="54" t="n"/>
      <c r="BE17" s="55" t="n"/>
      <c r="BF17" s="54" t="n"/>
      <c r="BG17" s="55" t="n"/>
      <c r="BH17" s="59" t="n"/>
      <c r="BI17" s="60" t="n"/>
      <c r="BJ17" s="59" t="n"/>
      <c r="BK17" s="60" t="n"/>
      <c r="BL17" s="56">
        <f>IF($A17="","",COUNTIF(D17:BK17,"+"))</f>
        <v/>
      </c>
      <c r="BM17" s="57">
        <f>IF($A17="","",COUNTIF(D17:BK17,"x"))</f>
        <v/>
      </c>
      <c r="BN17" s="57">
        <f>IF($A17="","",COUNTIF(D17:BK17,"-"))</f>
        <v/>
      </c>
      <c r="BO17" s="58">
        <f>IF($A17="","",BL17+BM17*0.5)</f>
        <v/>
      </c>
      <c r="BP17" s="58">
        <f>IF($A17="","",SUM(E17,G17,I17,K17,M17,O17,Q17,S17,U17,W17,Y17,AA17,AC17,AE17,AG17,AI17,AK17,AM17,AO17,AQ17,AS17,AU17,AW17,AY17,BA17,BC17,BE17,BG17,BI17,BK17))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2" t="n"/>
      <c r="G18" s="53" t="n"/>
      <c r="H18" s="52" t="n"/>
      <c r="I18" s="53" t="n"/>
      <c r="J18" s="52" t="n"/>
      <c r="K18" s="53" t="n"/>
      <c r="L18" s="52" t="n"/>
      <c r="M18" s="53" t="n"/>
      <c r="N18" s="54" t="n"/>
      <c r="O18" s="55" t="n"/>
      <c r="P18" s="54" t="n"/>
      <c r="Q18" s="55" t="n"/>
      <c r="R18" s="52" t="n"/>
      <c r="S18" s="53" t="n"/>
      <c r="T18" s="52" t="n"/>
      <c r="U18" s="53" t="n"/>
      <c r="V18" s="52" t="n"/>
      <c r="W18" s="53" t="n"/>
      <c r="X18" s="52" t="n"/>
      <c r="Y18" s="53" t="n"/>
      <c r="Z18" s="52" t="n"/>
      <c r="AA18" s="53" t="n"/>
      <c r="AB18" s="54" t="n"/>
      <c r="AC18" s="55" t="n"/>
      <c r="AD18" s="54" t="n"/>
      <c r="AE18" s="55" t="n"/>
      <c r="AF18" s="52" t="n"/>
      <c r="AG18" s="53" t="n"/>
      <c r="AH18" s="52" t="n"/>
      <c r="AI18" s="53" t="n"/>
      <c r="AJ18" s="52" t="n"/>
      <c r="AK18" s="53" t="n"/>
      <c r="AL18" s="52" t="n"/>
      <c r="AM18" s="53" t="n"/>
      <c r="AN18" s="52" t="n"/>
      <c r="AO18" s="53" t="n"/>
      <c r="AP18" s="54" t="n"/>
      <c r="AQ18" s="55" t="n"/>
      <c r="AR18" s="54" t="n"/>
      <c r="AS18" s="55" t="n"/>
      <c r="AT18" s="52" t="n"/>
      <c r="AU18" s="53" t="n"/>
      <c r="AV18" s="52" t="n"/>
      <c r="AW18" s="53" t="n"/>
      <c r="AX18" s="52" t="n"/>
      <c r="AY18" s="53" t="n"/>
      <c r="AZ18" s="52" t="n"/>
      <c r="BA18" s="53" t="n"/>
      <c r="BB18" s="52" t="n"/>
      <c r="BC18" s="53" t="n"/>
      <c r="BD18" s="54" t="n"/>
      <c r="BE18" s="55" t="n"/>
      <c r="BF18" s="54" t="n"/>
      <c r="BG18" s="55" t="n"/>
      <c r="BH18" s="52" t="n"/>
      <c r="BI18" s="53" t="n"/>
      <c r="BJ18" s="52" t="n"/>
      <c r="BK18" s="53" t="n"/>
      <c r="BL18" s="56">
        <f>IF($A18="","",COUNTIF(D18:BK18,"+"))</f>
        <v/>
      </c>
      <c r="BM18" s="57">
        <f>IF($A18="","",COUNTIF(D18:BK18,"x"))</f>
        <v/>
      </c>
      <c r="BN18" s="57">
        <f>IF($A18="","",COUNTIF(D18:BK18,"-"))</f>
        <v/>
      </c>
      <c r="BO18" s="58">
        <f>IF($A18="","",BL18+BM18*0.5)</f>
        <v/>
      </c>
      <c r="BP18" s="58">
        <f>IF($A18="","",SUM(E18,G18,I18,K18,M18,O18,Q18,S18,U18,W18,Y18,AA18,AC18,AE18,AG18,AI18,AK18,AM18,AO18,AQ18,AS18,AU18,AW18,AY18,BA18,BC18,BE18,BG18,BI18,BK18))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9" t="n"/>
      <c r="G19" s="60" t="n"/>
      <c r="H19" s="59" t="n"/>
      <c r="I19" s="60" t="n"/>
      <c r="J19" s="59" t="n"/>
      <c r="K19" s="60" t="n"/>
      <c r="L19" s="59" t="n"/>
      <c r="M19" s="60" t="n"/>
      <c r="N19" s="54" t="n"/>
      <c r="O19" s="55" t="n"/>
      <c r="P19" s="54" t="n"/>
      <c r="Q19" s="55" t="n"/>
      <c r="R19" s="59" t="n"/>
      <c r="S19" s="60" t="n"/>
      <c r="T19" s="59" t="n"/>
      <c r="U19" s="60" t="n"/>
      <c r="V19" s="59" t="n"/>
      <c r="W19" s="60" t="n"/>
      <c r="X19" s="59" t="n"/>
      <c r="Y19" s="60" t="n"/>
      <c r="Z19" s="59" t="n"/>
      <c r="AA19" s="60" t="n"/>
      <c r="AB19" s="54" t="n"/>
      <c r="AC19" s="55" t="n"/>
      <c r="AD19" s="54" t="n"/>
      <c r="AE19" s="55" t="n"/>
      <c r="AF19" s="59" t="n"/>
      <c r="AG19" s="60" t="n"/>
      <c r="AH19" s="59" t="n"/>
      <c r="AI19" s="60" t="n"/>
      <c r="AJ19" s="59" t="n"/>
      <c r="AK19" s="60" t="n"/>
      <c r="AL19" s="59" t="n"/>
      <c r="AM19" s="60" t="n"/>
      <c r="AN19" s="59" t="n"/>
      <c r="AO19" s="60" t="n"/>
      <c r="AP19" s="54" t="n"/>
      <c r="AQ19" s="55" t="n"/>
      <c r="AR19" s="54" t="n"/>
      <c r="AS19" s="55" t="n"/>
      <c r="AT19" s="59" t="n"/>
      <c r="AU19" s="60" t="n"/>
      <c r="AV19" s="59" t="n"/>
      <c r="AW19" s="60" t="n"/>
      <c r="AX19" s="59" t="n"/>
      <c r="AY19" s="60" t="n"/>
      <c r="AZ19" s="59" t="n"/>
      <c r="BA19" s="60" t="n"/>
      <c r="BB19" s="59" t="n"/>
      <c r="BC19" s="60" t="n"/>
      <c r="BD19" s="54" t="n"/>
      <c r="BE19" s="55" t="n"/>
      <c r="BF19" s="54" t="n"/>
      <c r="BG19" s="55" t="n"/>
      <c r="BH19" s="59" t="n"/>
      <c r="BI19" s="60" t="n"/>
      <c r="BJ19" s="59" t="n"/>
      <c r="BK19" s="60" t="n"/>
      <c r="BL19" s="56">
        <f>IF($A19="","",COUNTIF(D19:BK19,"+"))</f>
        <v/>
      </c>
      <c r="BM19" s="57">
        <f>IF($A19="","",COUNTIF(D19:BK19,"x"))</f>
        <v/>
      </c>
      <c r="BN19" s="57">
        <f>IF($A19="","",COUNTIF(D19:BK19,"-"))</f>
        <v/>
      </c>
      <c r="BO19" s="58">
        <f>IF($A19="","",BL19+BM19*0.5)</f>
        <v/>
      </c>
      <c r="BP19" s="58">
        <f>IF($A19="","",SUM(E19,G19,I19,K19,M19,O19,Q19,S19,U19,W19,Y19,AA19,AC19,AE19,AG19,AI19,AK19,AM19,AO19,AQ19,AS19,AU19,AW19,AY19,BA19,BC19,BE19,BG19,BI19,BK19))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2" t="n"/>
      <c r="G20" s="53" t="n"/>
      <c r="H20" s="52" t="n"/>
      <c r="I20" s="53" t="n"/>
      <c r="J20" s="52" t="n"/>
      <c r="K20" s="53" t="n"/>
      <c r="L20" s="52" t="n"/>
      <c r="M20" s="53" t="n"/>
      <c r="N20" s="54" t="n"/>
      <c r="O20" s="55" t="n"/>
      <c r="P20" s="54" t="n"/>
      <c r="Q20" s="55" t="n"/>
      <c r="R20" s="52" t="n"/>
      <c r="S20" s="53" t="n"/>
      <c r="T20" s="52" t="n"/>
      <c r="U20" s="53" t="n"/>
      <c r="V20" s="52" t="n"/>
      <c r="W20" s="53" t="n"/>
      <c r="X20" s="52" t="n"/>
      <c r="Y20" s="53" t="n"/>
      <c r="Z20" s="52" t="n"/>
      <c r="AA20" s="53" t="n"/>
      <c r="AB20" s="54" t="n"/>
      <c r="AC20" s="55" t="n"/>
      <c r="AD20" s="54" t="n"/>
      <c r="AE20" s="55" t="n"/>
      <c r="AF20" s="52" t="n"/>
      <c r="AG20" s="53" t="n"/>
      <c r="AH20" s="52" t="n"/>
      <c r="AI20" s="53" t="n"/>
      <c r="AJ20" s="52" t="n"/>
      <c r="AK20" s="53" t="n"/>
      <c r="AL20" s="52" t="n"/>
      <c r="AM20" s="53" t="n"/>
      <c r="AN20" s="52" t="n"/>
      <c r="AO20" s="53" t="n"/>
      <c r="AP20" s="54" t="n"/>
      <c r="AQ20" s="55" t="n"/>
      <c r="AR20" s="54" t="n"/>
      <c r="AS20" s="55" t="n"/>
      <c r="AT20" s="52" t="n"/>
      <c r="AU20" s="53" t="n"/>
      <c r="AV20" s="52" t="n"/>
      <c r="AW20" s="53" t="n"/>
      <c r="AX20" s="52" t="n"/>
      <c r="AY20" s="53" t="n"/>
      <c r="AZ20" s="52" t="n"/>
      <c r="BA20" s="53" t="n"/>
      <c r="BB20" s="52" t="n"/>
      <c r="BC20" s="53" t="n"/>
      <c r="BD20" s="54" t="n"/>
      <c r="BE20" s="55" t="n"/>
      <c r="BF20" s="54" t="n"/>
      <c r="BG20" s="55" t="n"/>
      <c r="BH20" s="52" t="n"/>
      <c r="BI20" s="53" t="n"/>
      <c r="BJ20" s="52" t="n"/>
      <c r="BK20" s="53" t="n"/>
      <c r="BL20" s="56">
        <f>IF($A20="","",COUNTIF(D20:BK20,"+"))</f>
        <v/>
      </c>
      <c r="BM20" s="57">
        <f>IF($A20="","",COUNTIF(D20:BK20,"x"))</f>
        <v/>
      </c>
      <c r="BN20" s="57">
        <f>IF($A20="","",COUNTIF(D20:BK20,"-"))</f>
        <v/>
      </c>
      <c r="BO20" s="58">
        <f>IF($A20="","",BL20+BM20*0.5)</f>
        <v/>
      </c>
      <c r="BP20" s="58">
        <f>IF($A20="","",SUM(E20,G20,I20,K20,M20,O20,Q20,S20,U20,W20,Y20,AA20,AC20,AE20,AG20,AI20,AK20,AM20,AO20,AQ20,AS20,AU20,AW20,AY20,BA20,BC20,BE20,BG20,BI20,BK20))</f>
        <v/>
      </c>
    </row>
  </sheetData>
  <mergeCells count="43">
    <mergeCell ref="F4:G4"/>
    <mergeCell ref="P4:Q4"/>
    <mergeCell ref="AX4:AY4"/>
    <mergeCell ref="BH4:BI4"/>
    <mergeCell ref="C4:C5"/>
    <mergeCell ref="BJ4:BK4"/>
    <mergeCell ref="BP4:BP5"/>
    <mergeCell ref="H4:I4"/>
    <mergeCell ref="R4:S4"/>
    <mergeCell ref="A2:C2"/>
    <mergeCell ref="AB4:AC4"/>
    <mergeCell ref="T4:U4"/>
    <mergeCell ref="AF4:AG4"/>
    <mergeCell ref="V4:W4"/>
    <mergeCell ref="AH4:AI4"/>
    <mergeCell ref="AN4:AO4"/>
    <mergeCell ref="BL4:BL5"/>
    <mergeCell ref="BN4:BN5"/>
    <mergeCell ref="I2:L2"/>
    <mergeCell ref="AR4:AS4"/>
    <mergeCell ref="AV4:AW4"/>
    <mergeCell ref="AT4:AU4"/>
    <mergeCell ref="AZ4:BA4"/>
    <mergeCell ref="J4:K4"/>
    <mergeCell ref="A1:BP1"/>
    <mergeCell ref="BB4:BC4"/>
    <mergeCell ref="L4:M4"/>
    <mergeCell ref="BD4:BE4"/>
    <mergeCell ref="BF4:BG4"/>
    <mergeCell ref="A4:A5"/>
    <mergeCell ref="D4:E4"/>
    <mergeCell ref="BM4:BM5"/>
    <mergeCell ref="N2:Q2"/>
    <mergeCell ref="D2:G2"/>
    <mergeCell ref="BO4:BO5"/>
    <mergeCell ref="X4:Y4"/>
    <mergeCell ref="AJ4:AK4"/>
    <mergeCell ref="Z4:AA4"/>
    <mergeCell ref="B4:B5"/>
    <mergeCell ref="AL4:AM4"/>
    <mergeCell ref="AD4:AE4"/>
    <mergeCell ref="AP4:AQ4"/>
    <mergeCell ref="N4:O4"/>
  </mergeCells>
  <conditionalFormatting sqref="D6:BK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R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4.6" customWidth="1" min="64" max="64"/>
    <col width="5.8" customWidth="1" min="65" max="65"/>
    <col width="9" customWidth="1" min="66" max="66"/>
    <col width="9" customWidth="1" min="67" max="67"/>
    <col width="9" customWidth="1" min="68" max="68"/>
    <col width="11" customWidth="1" min="69" max="69"/>
    <col width="11" customWidth="1" min="70" max="70"/>
  </cols>
  <sheetData>
    <row r="1" ht="32" customHeight="1">
      <c r="A1" s="1" t="inlineStr">
        <is>
          <t>TEMMUZ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 ht="20" customHeight="1">
      <c r="A2" s="25" t="inlineStr">
        <is>
          <t>Takvim gün sayısı: 31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Çar</t>
        </is>
      </c>
      <c r="E4" s="23" t="n"/>
      <c r="F4" s="23" t="inlineStr">
        <is>
          <t>2
Per</t>
        </is>
      </c>
      <c r="G4" s="23" t="n"/>
      <c r="H4" s="23" t="inlineStr">
        <is>
          <t>3
Cum</t>
        </is>
      </c>
      <c r="I4" s="23" t="n"/>
      <c r="J4" s="49" t="inlineStr">
        <is>
          <t>4
Cmt</t>
        </is>
      </c>
      <c r="K4" s="49" t="n"/>
      <c r="L4" s="49" t="inlineStr">
        <is>
          <t>5
Paz</t>
        </is>
      </c>
      <c r="M4" s="49" t="n"/>
      <c r="N4" s="23" t="inlineStr">
        <is>
          <t>6
Pzt</t>
        </is>
      </c>
      <c r="O4" s="23" t="n"/>
      <c r="P4" s="23" t="inlineStr">
        <is>
          <t>7
Sal</t>
        </is>
      </c>
      <c r="Q4" s="23" t="n"/>
      <c r="R4" s="23" t="inlineStr">
        <is>
          <t>8
Çar</t>
        </is>
      </c>
      <c r="S4" s="23" t="n"/>
      <c r="T4" s="23" t="inlineStr">
        <is>
          <t>9
Per</t>
        </is>
      </c>
      <c r="U4" s="23" t="n"/>
      <c r="V4" s="23" t="inlineStr">
        <is>
          <t>10
Cum</t>
        </is>
      </c>
      <c r="W4" s="23" t="n"/>
      <c r="X4" s="49" t="inlineStr">
        <is>
          <t>11
Cmt</t>
        </is>
      </c>
      <c r="Y4" s="49" t="n"/>
      <c r="Z4" s="49" t="inlineStr">
        <is>
          <t>12
Paz</t>
        </is>
      </c>
      <c r="AA4" s="49" t="n"/>
      <c r="AB4" s="23" t="inlineStr">
        <is>
          <t>13
Pzt</t>
        </is>
      </c>
      <c r="AC4" s="23" t="n"/>
      <c r="AD4" s="23" t="inlineStr">
        <is>
          <t>14
Sal</t>
        </is>
      </c>
      <c r="AE4" s="23" t="n"/>
      <c r="AF4" s="23" t="inlineStr">
        <is>
          <t>15
Çar</t>
        </is>
      </c>
      <c r="AG4" s="23" t="n"/>
      <c r="AH4" s="23" t="inlineStr">
        <is>
          <t>16
Per</t>
        </is>
      </c>
      <c r="AI4" s="23" t="n"/>
      <c r="AJ4" s="23" t="inlineStr">
        <is>
          <t>17
Cum</t>
        </is>
      </c>
      <c r="AK4" s="23" t="n"/>
      <c r="AL4" s="49" t="inlineStr">
        <is>
          <t>18
Cmt</t>
        </is>
      </c>
      <c r="AM4" s="49" t="n"/>
      <c r="AN4" s="49" t="inlineStr">
        <is>
          <t>19
Paz</t>
        </is>
      </c>
      <c r="AO4" s="49" t="n"/>
      <c r="AP4" s="23" t="inlineStr">
        <is>
          <t>20
Pzt</t>
        </is>
      </c>
      <c r="AQ4" s="23" t="n"/>
      <c r="AR4" s="23" t="inlineStr">
        <is>
          <t>21
Sal</t>
        </is>
      </c>
      <c r="AS4" s="23" t="n"/>
      <c r="AT4" s="23" t="inlineStr">
        <is>
          <t>22
Çar</t>
        </is>
      </c>
      <c r="AU4" s="23" t="n"/>
      <c r="AV4" s="23" t="inlineStr">
        <is>
          <t>23
Per</t>
        </is>
      </c>
      <c r="AW4" s="23" t="n"/>
      <c r="AX4" s="23" t="inlineStr">
        <is>
          <t>24
Cum</t>
        </is>
      </c>
      <c r="AY4" s="23" t="n"/>
      <c r="AZ4" s="49" t="inlineStr">
        <is>
          <t>25
Cmt</t>
        </is>
      </c>
      <c r="BA4" s="49" t="n"/>
      <c r="BB4" s="49" t="inlineStr">
        <is>
          <t>26
Paz</t>
        </is>
      </c>
      <c r="BC4" s="49" t="n"/>
      <c r="BD4" s="23" t="inlineStr">
        <is>
          <t>27
Pzt</t>
        </is>
      </c>
      <c r="BE4" s="23" t="n"/>
      <c r="BF4" s="23" t="inlineStr">
        <is>
          <t>28
Sal</t>
        </is>
      </c>
      <c r="BG4" s="23" t="n"/>
      <c r="BH4" s="23" t="inlineStr">
        <is>
          <t>29
Çar</t>
        </is>
      </c>
      <c r="BI4" s="23" t="n"/>
      <c r="BJ4" s="23" t="inlineStr">
        <is>
          <t>30
Per</t>
        </is>
      </c>
      <c r="BK4" s="23" t="n"/>
      <c r="BL4" s="23" t="inlineStr">
        <is>
          <t>31
Cum</t>
        </is>
      </c>
      <c r="BM4" s="23" t="n"/>
      <c r="BN4" s="50" t="inlineStr">
        <is>
          <t>Tam Gün
(+)</t>
        </is>
      </c>
      <c r="BO4" s="10" t="inlineStr">
        <is>
          <t>Yarım Gün
(x)</t>
        </is>
      </c>
      <c r="BP4" s="10" t="inlineStr">
        <is>
          <t>Gelmediği
Gün (-)</t>
        </is>
      </c>
      <c r="BQ4" s="10" t="inlineStr">
        <is>
          <t>Fiili
Çalışılan Gün</t>
        </is>
      </c>
      <c r="BR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1" t="inlineStr">
        <is>
          <t>Drm</t>
        </is>
      </c>
      <c r="BM5" s="51" t="inlineStr">
        <is>
          <t>Mesai</t>
        </is>
      </c>
      <c r="BN5" s="50" t="n"/>
      <c r="BO5" s="10" t="n"/>
      <c r="BP5" s="10" t="n"/>
      <c r="BQ5" s="10" t="n"/>
      <c r="BR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n"/>
      <c r="E6" s="53" t="n"/>
      <c r="F6" s="52" t="n"/>
      <c r="G6" s="53" t="n"/>
      <c r="H6" s="52" t="n"/>
      <c r="I6" s="53" t="n"/>
      <c r="J6" s="54" t="n"/>
      <c r="K6" s="55" t="n"/>
      <c r="L6" s="54" t="n"/>
      <c r="M6" s="55" t="n"/>
      <c r="N6" s="52" t="n"/>
      <c r="O6" s="53" t="n"/>
      <c r="P6" s="52" t="n"/>
      <c r="Q6" s="53" t="n"/>
      <c r="R6" s="52" t="n"/>
      <c r="S6" s="53" t="n"/>
      <c r="T6" s="52" t="n"/>
      <c r="U6" s="53" t="n"/>
      <c r="V6" s="52" t="n"/>
      <c r="W6" s="53" t="n"/>
      <c r="X6" s="54" t="n"/>
      <c r="Y6" s="55" t="n"/>
      <c r="Z6" s="54" t="n"/>
      <c r="AA6" s="55" t="n"/>
      <c r="AB6" s="52" t="n"/>
      <c r="AC6" s="53" t="n"/>
      <c r="AD6" s="52" t="n"/>
      <c r="AE6" s="53" t="n"/>
      <c r="AF6" s="52" t="n"/>
      <c r="AG6" s="53" t="n"/>
      <c r="AH6" s="52" t="n"/>
      <c r="AI6" s="53" t="n"/>
      <c r="AJ6" s="52" t="n"/>
      <c r="AK6" s="53" t="n"/>
      <c r="AL6" s="54" t="n"/>
      <c r="AM6" s="55" t="n"/>
      <c r="AN6" s="54" t="n"/>
      <c r="AO6" s="55" t="n"/>
      <c r="AP6" s="52" t="n"/>
      <c r="AQ6" s="53" t="n"/>
      <c r="AR6" s="52" t="n"/>
      <c r="AS6" s="53" t="n"/>
      <c r="AT6" s="52" t="n"/>
      <c r="AU6" s="53" t="n"/>
      <c r="AV6" s="52" t="n"/>
      <c r="AW6" s="53" t="n"/>
      <c r="AX6" s="52" t="n"/>
      <c r="AY6" s="53" t="n"/>
      <c r="AZ6" s="54" t="n"/>
      <c r="BA6" s="55" t="n"/>
      <c r="BB6" s="54" t="n"/>
      <c r="BC6" s="55" t="n"/>
      <c r="BD6" s="52" t="n"/>
      <c r="BE6" s="53" t="n"/>
      <c r="BF6" s="52" t="n"/>
      <c r="BG6" s="53" t="n"/>
      <c r="BH6" s="52" t="n"/>
      <c r="BI6" s="53" t="n"/>
      <c r="BJ6" s="52" t="n"/>
      <c r="BK6" s="53" t="n"/>
      <c r="BL6" s="52" t="n"/>
      <c r="BM6" s="53" t="n"/>
      <c r="BN6" s="56">
        <f>IF($A6="","",COUNTIF(D6:BM6,"+"))</f>
        <v/>
      </c>
      <c r="BO6" s="57">
        <f>IF($A6="","",COUNTIF(D6:BM6,"x"))</f>
        <v/>
      </c>
      <c r="BP6" s="57">
        <f>IF($A6="","",COUNTIF(D6:BM6,"-"))</f>
        <v/>
      </c>
      <c r="BQ6" s="58">
        <f>IF($A6="","",BN6+BO6*0.5)</f>
        <v/>
      </c>
      <c r="BR6" s="58">
        <f>IF($A6="","",SUM(E6,G6,I6,K6,M6,O6,Q6,S6,U6,W6,Y6,AA6,AC6,AE6,AG6,AI6,AK6,AM6,AO6,AQ6,AS6,AU6,AW6,AY6,BA6,BC6,BE6,BG6,BI6,BK6,BM6))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n"/>
      <c r="E7" s="60" t="n"/>
      <c r="F7" s="59" t="n"/>
      <c r="G7" s="60" t="n"/>
      <c r="H7" s="59" t="n"/>
      <c r="I7" s="60" t="n"/>
      <c r="J7" s="54" t="n"/>
      <c r="K7" s="55" t="n"/>
      <c r="L7" s="54" t="n"/>
      <c r="M7" s="55" t="n"/>
      <c r="N7" s="59" t="n"/>
      <c r="O7" s="60" t="n"/>
      <c r="P7" s="59" t="n"/>
      <c r="Q7" s="60" t="n"/>
      <c r="R7" s="59" t="n"/>
      <c r="S7" s="60" t="n"/>
      <c r="T7" s="59" t="n"/>
      <c r="U7" s="60" t="n"/>
      <c r="V7" s="59" t="n"/>
      <c r="W7" s="60" t="n"/>
      <c r="X7" s="54" t="n"/>
      <c r="Y7" s="55" t="n"/>
      <c r="Z7" s="54" t="n"/>
      <c r="AA7" s="55" t="n"/>
      <c r="AB7" s="59" t="n"/>
      <c r="AC7" s="60" t="n"/>
      <c r="AD7" s="59" t="n"/>
      <c r="AE7" s="60" t="n"/>
      <c r="AF7" s="59" t="n"/>
      <c r="AG7" s="60" t="n"/>
      <c r="AH7" s="59" t="n"/>
      <c r="AI7" s="60" t="n"/>
      <c r="AJ7" s="59" t="n"/>
      <c r="AK7" s="60" t="n"/>
      <c r="AL7" s="54" t="n"/>
      <c r="AM7" s="55" t="n"/>
      <c r="AN7" s="54" t="n"/>
      <c r="AO7" s="55" t="n"/>
      <c r="AP7" s="59" t="n"/>
      <c r="AQ7" s="60" t="n"/>
      <c r="AR7" s="59" t="n"/>
      <c r="AS7" s="60" t="n"/>
      <c r="AT7" s="59" t="n"/>
      <c r="AU7" s="60" t="n"/>
      <c r="AV7" s="59" t="n"/>
      <c r="AW7" s="60" t="n"/>
      <c r="AX7" s="59" t="n"/>
      <c r="AY7" s="60" t="n"/>
      <c r="AZ7" s="54" t="n"/>
      <c r="BA7" s="55" t="n"/>
      <c r="BB7" s="54" t="n"/>
      <c r="BC7" s="55" t="n"/>
      <c r="BD7" s="59" t="n"/>
      <c r="BE7" s="60" t="n"/>
      <c r="BF7" s="59" t="n"/>
      <c r="BG7" s="60" t="n"/>
      <c r="BH7" s="59" t="n"/>
      <c r="BI7" s="60" t="n"/>
      <c r="BJ7" s="59" t="n"/>
      <c r="BK7" s="60" t="n"/>
      <c r="BL7" s="59" t="n"/>
      <c r="BM7" s="60" t="n"/>
      <c r="BN7" s="56">
        <f>IF($A7="","",COUNTIF(D7:BM7,"+"))</f>
        <v/>
      </c>
      <c r="BO7" s="57">
        <f>IF($A7="","",COUNTIF(D7:BM7,"x"))</f>
        <v/>
      </c>
      <c r="BP7" s="57">
        <f>IF($A7="","",COUNTIF(D7:BM7,"-"))</f>
        <v/>
      </c>
      <c r="BQ7" s="58">
        <f>IF($A7="","",BN7+BO7*0.5)</f>
        <v/>
      </c>
      <c r="BR7" s="58">
        <f>IF($A7="","",SUM(E7,G7,I7,K7,M7,O7,Q7,S7,U7,W7,Y7,AA7,AC7,AE7,AG7,AI7,AK7,AM7,AO7,AQ7,AS7,AU7,AW7,AY7,BA7,BC7,BE7,BG7,BI7,BK7,BM7))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n"/>
      <c r="E8" s="53" t="n"/>
      <c r="F8" s="52" t="n"/>
      <c r="G8" s="53" t="n"/>
      <c r="H8" s="52" t="n"/>
      <c r="I8" s="53" t="n"/>
      <c r="J8" s="54" t="n"/>
      <c r="K8" s="55" t="n"/>
      <c r="L8" s="54" t="n"/>
      <c r="M8" s="55" t="n"/>
      <c r="N8" s="52" t="n"/>
      <c r="O8" s="53" t="n"/>
      <c r="P8" s="52" t="n"/>
      <c r="Q8" s="53" t="n"/>
      <c r="R8" s="52" t="n"/>
      <c r="S8" s="53" t="n"/>
      <c r="T8" s="52" t="n"/>
      <c r="U8" s="53" t="n"/>
      <c r="V8" s="52" t="n"/>
      <c r="W8" s="53" t="n"/>
      <c r="X8" s="54" t="n"/>
      <c r="Y8" s="55" t="n"/>
      <c r="Z8" s="54" t="n"/>
      <c r="AA8" s="55" t="n"/>
      <c r="AB8" s="52" t="n"/>
      <c r="AC8" s="53" t="n"/>
      <c r="AD8" s="52" t="n"/>
      <c r="AE8" s="53" t="n"/>
      <c r="AF8" s="52" t="n"/>
      <c r="AG8" s="53" t="n"/>
      <c r="AH8" s="52" t="n"/>
      <c r="AI8" s="53" t="n"/>
      <c r="AJ8" s="52" t="n"/>
      <c r="AK8" s="53" t="n"/>
      <c r="AL8" s="54" t="n"/>
      <c r="AM8" s="55" t="n"/>
      <c r="AN8" s="54" t="n"/>
      <c r="AO8" s="55" t="n"/>
      <c r="AP8" s="52" t="n"/>
      <c r="AQ8" s="53" t="n"/>
      <c r="AR8" s="52" t="n"/>
      <c r="AS8" s="53" t="n"/>
      <c r="AT8" s="52" t="n"/>
      <c r="AU8" s="53" t="n"/>
      <c r="AV8" s="52" t="n"/>
      <c r="AW8" s="53" t="n"/>
      <c r="AX8" s="52" t="n"/>
      <c r="AY8" s="53" t="n"/>
      <c r="AZ8" s="54" t="n"/>
      <c r="BA8" s="55" t="n"/>
      <c r="BB8" s="54" t="n"/>
      <c r="BC8" s="55" t="n"/>
      <c r="BD8" s="52" t="n"/>
      <c r="BE8" s="53" t="n"/>
      <c r="BF8" s="52" t="n"/>
      <c r="BG8" s="53" t="n"/>
      <c r="BH8" s="52" t="n"/>
      <c r="BI8" s="53" t="n"/>
      <c r="BJ8" s="52" t="n"/>
      <c r="BK8" s="53" t="n"/>
      <c r="BL8" s="52" t="n"/>
      <c r="BM8" s="53" t="n"/>
      <c r="BN8" s="56">
        <f>IF($A8="","",COUNTIF(D8:BM8,"+"))</f>
        <v/>
      </c>
      <c r="BO8" s="57">
        <f>IF($A8="","",COUNTIF(D8:BM8,"x"))</f>
        <v/>
      </c>
      <c r="BP8" s="57">
        <f>IF($A8="","",COUNTIF(D8:BM8,"-"))</f>
        <v/>
      </c>
      <c r="BQ8" s="58">
        <f>IF($A8="","",BN8+BO8*0.5)</f>
        <v/>
      </c>
      <c r="BR8" s="58">
        <f>IF($A8="","",SUM(E8,G8,I8,K8,M8,O8,Q8,S8,U8,W8,Y8,AA8,AC8,AE8,AG8,AI8,AK8,AM8,AO8,AQ8,AS8,AU8,AW8,AY8,BA8,BC8,BE8,BG8,BI8,BK8,BM8))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n"/>
      <c r="E9" s="60" t="n"/>
      <c r="F9" s="59" t="n"/>
      <c r="G9" s="60" t="n"/>
      <c r="H9" s="59" t="n"/>
      <c r="I9" s="60" t="n"/>
      <c r="J9" s="54" t="n"/>
      <c r="K9" s="55" t="n"/>
      <c r="L9" s="54" t="n"/>
      <c r="M9" s="55" t="n"/>
      <c r="N9" s="59" t="n"/>
      <c r="O9" s="60" t="n"/>
      <c r="P9" s="59" t="n"/>
      <c r="Q9" s="60" t="n"/>
      <c r="R9" s="59" t="n"/>
      <c r="S9" s="60" t="n"/>
      <c r="T9" s="59" t="n"/>
      <c r="U9" s="60" t="n"/>
      <c r="V9" s="59" t="n"/>
      <c r="W9" s="60" t="n"/>
      <c r="X9" s="54" t="n"/>
      <c r="Y9" s="55" t="n"/>
      <c r="Z9" s="54" t="n"/>
      <c r="AA9" s="55" t="n"/>
      <c r="AB9" s="59" t="n"/>
      <c r="AC9" s="60" t="n"/>
      <c r="AD9" s="59" t="n"/>
      <c r="AE9" s="60" t="n"/>
      <c r="AF9" s="59" t="n"/>
      <c r="AG9" s="60" t="n"/>
      <c r="AH9" s="59" t="n"/>
      <c r="AI9" s="60" t="n"/>
      <c r="AJ9" s="59" t="n"/>
      <c r="AK9" s="60" t="n"/>
      <c r="AL9" s="54" t="n"/>
      <c r="AM9" s="55" t="n"/>
      <c r="AN9" s="54" t="n"/>
      <c r="AO9" s="55" t="n"/>
      <c r="AP9" s="59" t="n"/>
      <c r="AQ9" s="60" t="n"/>
      <c r="AR9" s="59" t="n"/>
      <c r="AS9" s="60" t="n"/>
      <c r="AT9" s="59" t="n"/>
      <c r="AU9" s="60" t="n"/>
      <c r="AV9" s="59" t="n"/>
      <c r="AW9" s="60" t="n"/>
      <c r="AX9" s="59" t="n"/>
      <c r="AY9" s="60" t="n"/>
      <c r="AZ9" s="54" t="n"/>
      <c r="BA9" s="55" t="n"/>
      <c r="BB9" s="54" t="n"/>
      <c r="BC9" s="55" t="n"/>
      <c r="BD9" s="59" t="n"/>
      <c r="BE9" s="60" t="n"/>
      <c r="BF9" s="59" t="n"/>
      <c r="BG9" s="60" t="n"/>
      <c r="BH9" s="59" t="n"/>
      <c r="BI9" s="60" t="n"/>
      <c r="BJ9" s="59" t="n"/>
      <c r="BK9" s="60" t="n"/>
      <c r="BL9" s="59" t="n"/>
      <c r="BM9" s="60" t="n"/>
      <c r="BN9" s="56">
        <f>IF($A9="","",COUNTIF(D9:BM9,"+"))</f>
        <v/>
      </c>
      <c r="BO9" s="57">
        <f>IF($A9="","",COUNTIF(D9:BM9,"x"))</f>
        <v/>
      </c>
      <c r="BP9" s="57">
        <f>IF($A9="","",COUNTIF(D9:BM9,"-"))</f>
        <v/>
      </c>
      <c r="BQ9" s="58">
        <f>IF($A9="","",BN9+BO9*0.5)</f>
        <v/>
      </c>
      <c r="BR9" s="58">
        <f>IF($A9="","",SUM(E9,G9,I9,K9,M9,O9,Q9,S9,U9,W9,Y9,AA9,AC9,AE9,AG9,AI9,AK9,AM9,AO9,AQ9,AS9,AU9,AW9,AY9,BA9,BC9,BE9,BG9,BI9,BK9,BM9))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n"/>
      <c r="E10" s="53" t="n"/>
      <c r="F10" s="52" t="n"/>
      <c r="G10" s="53" t="n"/>
      <c r="H10" s="52" t="n"/>
      <c r="I10" s="53" t="n"/>
      <c r="J10" s="54" t="n"/>
      <c r="K10" s="55" t="n"/>
      <c r="L10" s="54" t="n"/>
      <c r="M10" s="55" t="n"/>
      <c r="N10" s="52" t="n"/>
      <c r="O10" s="53" t="n"/>
      <c r="P10" s="52" t="n"/>
      <c r="Q10" s="53" t="n"/>
      <c r="R10" s="52" t="n"/>
      <c r="S10" s="53" t="n"/>
      <c r="T10" s="52" t="n"/>
      <c r="U10" s="53" t="n"/>
      <c r="V10" s="52" t="n"/>
      <c r="W10" s="53" t="n"/>
      <c r="X10" s="54" t="n"/>
      <c r="Y10" s="55" t="n"/>
      <c r="Z10" s="54" t="n"/>
      <c r="AA10" s="55" t="n"/>
      <c r="AB10" s="52" t="n"/>
      <c r="AC10" s="53" t="n"/>
      <c r="AD10" s="52" t="n"/>
      <c r="AE10" s="53" t="n"/>
      <c r="AF10" s="52" t="n"/>
      <c r="AG10" s="53" t="n"/>
      <c r="AH10" s="52" t="n"/>
      <c r="AI10" s="53" t="n"/>
      <c r="AJ10" s="52" t="n"/>
      <c r="AK10" s="53" t="n"/>
      <c r="AL10" s="54" t="n"/>
      <c r="AM10" s="55" t="n"/>
      <c r="AN10" s="54" t="n"/>
      <c r="AO10" s="55" t="n"/>
      <c r="AP10" s="52" t="n"/>
      <c r="AQ10" s="53" t="n"/>
      <c r="AR10" s="52" t="n"/>
      <c r="AS10" s="53" t="n"/>
      <c r="AT10" s="52" t="n"/>
      <c r="AU10" s="53" t="n"/>
      <c r="AV10" s="52" t="n"/>
      <c r="AW10" s="53" t="n"/>
      <c r="AX10" s="52" t="n"/>
      <c r="AY10" s="53" t="n"/>
      <c r="AZ10" s="54" t="n"/>
      <c r="BA10" s="55" t="n"/>
      <c r="BB10" s="54" t="n"/>
      <c r="BC10" s="55" t="n"/>
      <c r="BD10" s="52" t="n"/>
      <c r="BE10" s="53" t="n"/>
      <c r="BF10" s="52" t="n"/>
      <c r="BG10" s="53" t="n"/>
      <c r="BH10" s="52" t="n"/>
      <c r="BI10" s="53" t="n"/>
      <c r="BJ10" s="52" t="n"/>
      <c r="BK10" s="53" t="n"/>
      <c r="BL10" s="52" t="n"/>
      <c r="BM10" s="53" t="n"/>
      <c r="BN10" s="56">
        <f>IF($A10="","",COUNTIF(D10:BM10,"+"))</f>
        <v/>
      </c>
      <c r="BO10" s="57">
        <f>IF($A10="","",COUNTIF(D10:BM10,"x"))</f>
        <v/>
      </c>
      <c r="BP10" s="57">
        <f>IF($A10="","",COUNTIF(D10:BM10,"-"))</f>
        <v/>
      </c>
      <c r="BQ10" s="58">
        <f>IF($A10="","",BN10+BO10*0.5)</f>
        <v/>
      </c>
      <c r="BR10" s="58">
        <f>IF($A10="","",SUM(E10,G10,I10,K10,M10,O10,Q10,S10,U10,W10,Y10,AA10,AC10,AE10,AG10,AI10,AK10,AM10,AO10,AQ10,AS10,AU10,AW10,AY10,BA10,BC10,BE10,BG10,BI10,BK10,BM10))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n"/>
      <c r="E11" s="60" t="n"/>
      <c r="F11" s="59" t="n"/>
      <c r="G11" s="60" t="n"/>
      <c r="H11" s="59" t="n"/>
      <c r="I11" s="60" t="n"/>
      <c r="J11" s="54" t="n"/>
      <c r="K11" s="55" t="n"/>
      <c r="L11" s="54" t="n"/>
      <c r="M11" s="55" t="n"/>
      <c r="N11" s="59" t="n"/>
      <c r="O11" s="60" t="n"/>
      <c r="P11" s="59" t="n"/>
      <c r="Q11" s="60" t="n"/>
      <c r="R11" s="59" t="n"/>
      <c r="S11" s="60" t="n"/>
      <c r="T11" s="59" t="n"/>
      <c r="U11" s="60" t="n"/>
      <c r="V11" s="59" t="n"/>
      <c r="W11" s="60" t="n"/>
      <c r="X11" s="54" t="n"/>
      <c r="Y11" s="55" t="n"/>
      <c r="Z11" s="54" t="n"/>
      <c r="AA11" s="55" t="n"/>
      <c r="AB11" s="59" t="n"/>
      <c r="AC11" s="60" t="n"/>
      <c r="AD11" s="59" t="n"/>
      <c r="AE11" s="60" t="n"/>
      <c r="AF11" s="59" t="n"/>
      <c r="AG11" s="60" t="n"/>
      <c r="AH11" s="59" t="n"/>
      <c r="AI11" s="60" t="n"/>
      <c r="AJ11" s="59" t="n"/>
      <c r="AK11" s="60" t="n"/>
      <c r="AL11" s="54" t="n"/>
      <c r="AM11" s="55" t="n"/>
      <c r="AN11" s="54" t="n"/>
      <c r="AO11" s="55" t="n"/>
      <c r="AP11" s="59" t="n"/>
      <c r="AQ11" s="60" t="n"/>
      <c r="AR11" s="59" t="n"/>
      <c r="AS11" s="60" t="n"/>
      <c r="AT11" s="59" t="n"/>
      <c r="AU11" s="60" t="n"/>
      <c r="AV11" s="59" t="n"/>
      <c r="AW11" s="60" t="n"/>
      <c r="AX11" s="59" t="n"/>
      <c r="AY11" s="60" t="n"/>
      <c r="AZ11" s="54" t="n"/>
      <c r="BA11" s="55" t="n"/>
      <c r="BB11" s="54" t="n"/>
      <c r="BC11" s="55" t="n"/>
      <c r="BD11" s="59" t="n"/>
      <c r="BE11" s="60" t="n"/>
      <c r="BF11" s="59" t="n"/>
      <c r="BG11" s="60" t="n"/>
      <c r="BH11" s="59" t="n"/>
      <c r="BI11" s="60" t="n"/>
      <c r="BJ11" s="59" t="n"/>
      <c r="BK11" s="60" t="n"/>
      <c r="BL11" s="59" t="n"/>
      <c r="BM11" s="60" t="n"/>
      <c r="BN11" s="56">
        <f>IF($A11="","",COUNTIF(D11:BM11,"+"))</f>
        <v/>
      </c>
      <c r="BO11" s="57">
        <f>IF($A11="","",COUNTIF(D11:BM11,"x"))</f>
        <v/>
      </c>
      <c r="BP11" s="57">
        <f>IF($A11="","",COUNTIF(D11:BM11,"-"))</f>
        <v/>
      </c>
      <c r="BQ11" s="58">
        <f>IF($A11="","",BN11+BO11*0.5)</f>
        <v/>
      </c>
      <c r="BR11" s="58">
        <f>IF($A11="","",SUM(E11,G11,I11,K11,M11,O11,Q11,S11,U11,W11,Y11,AA11,AC11,AE11,AG11,AI11,AK11,AM11,AO11,AQ11,AS11,AU11,AW11,AY11,BA11,BC11,BE11,BG11,BI11,BK11,BM11))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n"/>
      <c r="E12" s="53" t="n"/>
      <c r="F12" s="52" t="n"/>
      <c r="G12" s="53" t="n"/>
      <c r="H12" s="52" t="n"/>
      <c r="I12" s="53" t="n"/>
      <c r="J12" s="54" t="n"/>
      <c r="K12" s="55" t="n"/>
      <c r="L12" s="54" t="n"/>
      <c r="M12" s="55" t="n"/>
      <c r="N12" s="52" t="n"/>
      <c r="O12" s="53" t="n"/>
      <c r="P12" s="52" t="n"/>
      <c r="Q12" s="53" t="n"/>
      <c r="R12" s="52" t="n"/>
      <c r="S12" s="53" t="n"/>
      <c r="T12" s="52" t="n"/>
      <c r="U12" s="53" t="n"/>
      <c r="V12" s="52" t="n"/>
      <c r="W12" s="53" t="n"/>
      <c r="X12" s="54" t="n"/>
      <c r="Y12" s="55" t="n"/>
      <c r="Z12" s="54" t="n"/>
      <c r="AA12" s="55" t="n"/>
      <c r="AB12" s="52" t="n"/>
      <c r="AC12" s="53" t="n"/>
      <c r="AD12" s="52" t="n"/>
      <c r="AE12" s="53" t="n"/>
      <c r="AF12" s="52" t="n"/>
      <c r="AG12" s="53" t="n"/>
      <c r="AH12" s="52" t="n"/>
      <c r="AI12" s="53" t="n"/>
      <c r="AJ12" s="52" t="n"/>
      <c r="AK12" s="53" t="n"/>
      <c r="AL12" s="54" t="n"/>
      <c r="AM12" s="55" t="n"/>
      <c r="AN12" s="54" t="n"/>
      <c r="AO12" s="55" t="n"/>
      <c r="AP12" s="52" t="n"/>
      <c r="AQ12" s="53" t="n"/>
      <c r="AR12" s="52" t="n"/>
      <c r="AS12" s="53" t="n"/>
      <c r="AT12" s="52" t="n"/>
      <c r="AU12" s="53" t="n"/>
      <c r="AV12" s="52" t="n"/>
      <c r="AW12" s="53" t="n"/>
      <c r="AX12" s="52" t="n"/>
      <c r="AY12" s="53" t="n"/>
      <c r="AZ12" s="54" t="n"/>
      <c r="BA12" s="55" t="n"/>
      <c r="BB12" s="54" t="n"/>
      <c r="BC12" s="55" t="n"/>
      <c r="BD12" s="52" t="n"/>
      <c r="BE12" s="53" t="n"/>
      <c r="BF12" s="52" t="n"/>
      <c r="BG12" s="53" t="n"/>
      <c r="BH12" s="52" t="n"/>
      <c r="BI12" s="53" t="n"/>
      <c r="BJ12" s="52" t="n"/>
      <c r="BK12" s="53" t="n"/>
      <c r="BL12" s="52" t="n"/>
      <c r="BM12" s="53" t="n"/>
      <c r="BN12" s="56">
        <f>IF($A12="","",COUNTIF(D12:BM12,"+"))</f>
        <v/>
      </c>
      <c r="BO12" s="57">
        <f>IF($A12="","",COUNTIF(D12:BM12,"x"))</f>
        <v/>
      </c>
      <c r="BP12" s="57">
        <f>IF($A12="","",COUNTIF(D12:BM12,"-"))</f>
        <v/>
      </c>
      <c r="BQ12" s="58">
        <f>IF($A12="","",BN12+BO12*0.5)</f>
        <v/>
      </c>
      <c r="BR12" s="58">
        <f>IF($A12="","",SUM(E12,G12,I12,K12,M12,O12,Q12,S12,U12,W12,Y12,AA12,AC12,AE12,AG12,AI12,AK12,AM12,AO12,AQ12,AS12,AU12,AW12,AY12,BA12,BC12,BE12,BG12,BI12,BK12,BM12))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9" t="n"/>
      <c r="G13" s="60" t="n"/>
      <c r="H13" s="59" t="n"/>
      <c r="I13" s="60" t="n"/>
      <c r="J13" s="54" t="n"/>
      <c r="K13" s="55" t="n"/>
      <c r="L13" s="54" t="n"/>
      <c r="M13" s="55" t="n"/>
      <c r="N13" s="59" t="n"/>
      <c r="O13" s="60" t="n"/>
      <c r="P13" s="59" t="n"/>
      <c r="Q13" s="60" t="n"/>
      <c r="R13" s="59" t="n"/>
      <c r="S13" s="60" t="n"/>
      <c r="T13" s="59" t="n"/>
      <c r="U13" s="60" t="n"/>
      <c r="V13" s="59" t="n"/>
      <c r="W13" s="60" t="n"/>
      <c r="X13" s="54" t="n"/>
      <c r="Y13" s="55" t="n"/>
      <c r="Z13" s="54" t="n"/>
      <c r="AA13" s="55" t="n"/>
      <c r="AB13" s="59" t="n"/>
      <c r="AC13" s="60" t="n"/>
      <c r="AD13" s="59" t="n"/>
      <c r="AE13" s="60" t="n"/>
      <c r="AF13" s="59" t="n"/>
      <c r="AG13" s="60" t="n"/>
      <c r="AH13" s="59" t="n"/>
      <c r="AI13" s="60" t="n"/>
      <c r="AJ13" s="59" t="n"/>
      <c r="AK13" s="60" t="n"/>
      <c r="AL13" s="54" t="n"/>
      <c r="AM13" s="55" t="n"/>
      <c r="AN13" s="54" t="n"/>
      <c r="AO13" s="55" t="n"/>
      <c r="AP13" s="59" t="n"/>
      <c r="AQ13" s="60" t="n"/>
      <c r="AR13" s="59" t="n"/>
      <c r="AS13" s="60" t="n"/>
      <c r="AT13" s="59" t="n"/>
      <c r="AU13" s="60" t="n"/>
      <c r="AV13" s="59" t="n"/>
      <c r="AW13" s="60" t="n"/>
      <c r="AX13" s="59" t="n"/>
      <c r="AY13" s="60" t="n"/>
      <c r="AZ13" s="54" t="n"/>
      <c r="BA13" s="55" t="n"/>
      <c r="BB13" s="54" t="n"/>
      <c r="BC13" s="55" t="n"/>
      <c r="BD13" s="59" t="n"/>
      <c r="BE13" s="60" t="n"/>
      <c r="BF13" s="59" t="n"/>
      <c r="BG13" s="60" t="n"/>
      <c r="BH13" s="59" t="n"/>
      <c r="BI13" s="60" t="n"/>
      <c r="BJ13" s="59" t="n"/>
      <c r="BK13" s="60" t="n"/>
      <c r="BL13" s="59" t="n"/>
      <c r="BM13" s="60" t="n"/>
      <c r="BN13" s="56">
        <f>IF($A13="","",COUNTIF(D13:BM13,"+"))</f>
        <v/>
      </c>
      <c r="BO13" s="57">
        <f>IF($A13="","",COUNTIF(D13:BM13,"x"))</f>
        <v/>
      </c>
      <c r="BP13" s="57">
        <f>IF($A13="","",COUNTIF(D13:BM13,"-"))</f>
        <v/>
      </c>
      <c r="BQ13" s="58">
        <f>IF($A13="","",BN13+BO13*0.5)</f>
        <v/>
      </c>
      <c r="BR13" s="58">
        <f>IF($A13="","",SUM(E13,G13,I13,K13,M13,O13,Q13,S13,U13,W13,Y13,AA13,AC13,AE13,AG13,AI13,AK13,AM13,AO13,AQ13,AS13,AU13,AW13,AY13,BA13,BC13,BE13,BG13,BI13,BK13,BM13))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2" t="n"/>
      <c r="G14" s="53" t="n"/>
      <c r="H14" s="52" t="n"/>
      <c r="I14" s="53" t="n"/>
      <c r="J14" s="54" t="n"/>
      <c r="K14" s="55" t="n"/>
      <c r="L14" s="54" t="n"/>
      <c r="M14" s="55" t="n"/>
      <c r="N14" s="52" t="n"/>
      <c r="O14" s="53" t="n"/>
      <c r="P14" s="52" t="n"/>
      <c r="Q14" s="53" t="n"/>
      <c r="R14" s="52" t="n"/>
      <c r="S14" s="53" t="n"/>
      <c r="T14" s="52" t="n"/>
      <c r="U14" s="53" t="n"/>
      <c r="V14" s="52" t="n"/>
      <c r="W14" s="53" t="n"/>
      <c r="X14" s="54" t="n"/>
      <c r="Y14" s="55" t="n"/>
      <c r="Z14" s="54" t="n"/>
      <c r="AA14" s="55" t="n"/>
      <c r="AB14" s="52" t="n"/>
      <c r="AC14" s="53" t="n"/>
      <c r="AD14" s="52" t="n"/>
      <c r="AE14" s="53" t="n"/>
      <c r="AF14" s="52" t="n"/>
      <c r="AG14" s="53" t="n"/>
      <c r="AH14" s="52" t="n"/>
      <c r="AI14" s="53" t="n"/>
      <c r="AJ14" s="52" t="n"/>
      <c r="AK14" s="53" t="n"/>
      <c r="AL14" s="54" t="n"/>
      <c r="AM14" s="55" t="n"/>
      <c r="AN14" s="54" t="n"/>
      <c r="AO14" s="55" t="n"/>
      <c r="AP14" s="52" t="n"/>
      <c r="AQ14" s="53" t="n"/>
      <c r="AR14" s="52" t="n"/>
      <c r="AS14" s="53" t="n"/>
      <c r="AT14" s="52" t="n"/>
      <c r="AU14" s="53" t="n"/>
      <c r="AV14" s="52" t="n"/>
      <c r="AW14" s="53" t="n"/>
      <c r="AX14" s="52" t="n"/>
      <c r="AY14" s="53" t="n"/>
      <c r="AZ14" s="54" t="n"/>
      <c r="BA14" s="55" t="n"/>
      <c r="BB14" s="54" t="n"/>
      <c r="BC14" s="55" t="n"/>
      <c r="BD14" s="52" t="n"/>
      <c r="BE14" s="53" t="n"/>
      <c r="BF14" s="52" t="n"/>
      <c r="BG14" s="53" t="n"/>
      <c r="BH14" s="52" t="n"/>
      <c r="BI14" s="53" t="n"/>
      <c r="BJ14" s="52" t="n"/>
      <c r="BK14" s="53" t="n"/>
      <c r="BL14" s="52" t="n"/>
      <c r="BM14" s="53" t="n"/>
      <c r="BN14" s="56">
        <f>IF($A14="","",COUNTIF(D14:BM14,"+"))</f>
        <v/>
      </c>
      <c r="BO14" s="57">
        <f>IF($A14="","",COUNTIF(D14:BM14,"x"))</f>
        <v/>
      </c>
      <c r="BP14" s="57">
        <f>IF($A14="","",COUNTIF(D14:BM14,"-"))</f>
        <v/>
      </c>
      <c r="BQ14" s="58">
        <f>IF($A14="","",BN14+BO14*0.5)</f>
        <v/>
      </c>
      <c r="BR14" s="58">
        <f>IF($A14="","",SUM(E14,G14,I14,K14,M14,O14,Q14,S14,U14,W14,Y14,AA14,AC14,AE14,AG14,AI14,AK14,AM14,AO14,AQ14,AS14,AU14,AW14,AY14,BA14,BC14,BE14,BG14,BI14,BK14,BM14))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9" t="n"/>
      <c r="G15" s="60" t="n"/>
      <c r="H15" s="59" t="n"/>
      <c r="I15" s="60" t="n"/>
      <c r="J15" s="54" t="n"/>
      <c r="K15" s="55" t="n"/>
      <c r="L15" s="54" t="n"/>
      <c r="M15" s="55" t="n"/>
      <c r="N15" s="59" t="n"/>
      <c r="O15" s="60" t="n"/>
      <c r="P15" s="59" t="n"/>
      <c r="Q15" s="60" t="n"/>
      <c r="R15" s="59" t="n"/>
      <c r="S15" s="60" t="n"/>
      <c r="T15" s="59" t="n"/>
      <c r="U15" s="60" t="n"/>
      <c r="V15" s="59" t="n"/>
      <c r="W15" s="60" t="n"/>
      <c r="X15" s="54" t="n"/>
      <c r="Y15" s="55" t="n"/>
      <c r="Z15" s="54" t="n"/>
      <c r="AA15" s="55" t="n"/>
      <c r="AB15" s="59" t="n"/>
      <c r="AC15" s="60" t="n"/>
      <c r="AD15" s="59" t="n"/>
      <c r="AE15" s="60" t="n"/>
      <c r="AF15" s="59" t="n"/>
      <c r="AG15" s="60" t="n"/>
      <c r="AH15" s="59" t="n"/>
      <c r="AI15" s="60" t="n"/>
      <c r="AJ15" s="59" t="n"/>
      <c r="AK15" s="60" t="n"/>
      <c r="AL15" s="54" t="n"/>
      <c r="AM15" s="55" t="n"/>
      <c r="AN15" s="54" t="n"/>
      <c r="AO15" s="55" t="n"/>
      <c r="AP15" s="59" t="n"/>
      <c r="AQ15" s="60" t="n"/>
      <c r="AR15" s="59" t="n"/>
      <c r="AS15" s="60" t="n"/>
      <c r="AT15" s="59" t="n"/>
      <c r="AU15" s="60" t="n"/>
      <c r="AV15" s="59" t="n"/>
      <c r="AW15" s="60" t="n"/>
      <c r="AX15" s="59" t="n"/>
      <c r="AY15" s="60" t="n"/>
      <c r="AZ15" s="54" t="n"/>
      <c r="BA15" s="55" t="n"/>
      <c r="BB15" s="54" t="n"/>
      <c r="BC15" s="55" t="n"/>
      <c r="BD15" s="59" t="n"/>
      <c r="BE15" s="60" t="n"/>
      <c r="BF15" s="59" t="n"/>
      <c r="BG15" s="60" t="n"/>
      <c r="BH15" s="59" t="n"/>
      <c r="BI15" s="60" t="n"/>
      <c r="BJ15" s="59" t="n"/>
      <c r="BK15" s="60" t="n"/>
      <c r="BL15" s="59" t="n"/>
      <c r="BM15" s="60" t="n"/>
      <c r="BN15" s="56">
        <f>IF($A15="","",COUNTIF(D15:BM15,"+"))</f>
        <v/>
      </c>
      <c r="BO15" s="57">
        <f>IF($A15="","",COUNTIF(D15:BM15,"x"))</f>
        <v/>
      </c>
      <c r="BP15" s="57">
        <f>IF($A15="","",COUNTIF(D15:BM15,"-"))</f>
        <v/>
      </c>
      <c r="BQ15" s="58">
        <f>IF($A15="","",BN15+BO15*0.5)</f>
        <v/>
      </c>
      <c r="BR15" s="58">
        <f>IF($A15="","",SUM(E15,G15,I15,K15,M15,O15,Q15,S15,U15,W15,Y15,AA15,AC15,AE15,AG15,AI15,AK15,AM15,AO15,AQ15,AS15,AU15,AW15,AY15,BA15,BC15,BE15,BG15,BI15,BK15,BM15))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2" t="n"/>
      <c r="G16" s="53" t="n"/>
      <c r="H16" s="52" t="n"/>
      <c r="I16" s="53" t="n"/>
      <c r="J16" s="54" t="n"/>
      <c r="K16" s="55" t="n"/>
      <c r="L16" s="54" t="n"/>
      <c r="M16" s="55" t="n"/>
      <c r="N16" s="52" t="n"/>
      <c r="O16" s="53" t="n"/>
      <c r="P16" s="52" t="n"/>
      <c r="Q16" s="53" t="n"/>
      <c r="R16" s="52" t="n"/>
      <c r="S16" s="53" t="n"/>
      <c r="T16" s="52" t="n"/>
      <c r="U16" s="53" t="n"/>
      <c r="V16" s="52" t="n"/>
      <c r="W16" s="53" t="n"/>
      <c r="X16" s="54" t="n"/>
      <c r="Y16" s="55" t="n"/>
      <c r="Z16" s="54" t="n"/>
      <c r="AA16" s="55" t="n"/>
      <c r="AB16" s="52" t="n"/>
      <c r="AC16" s="53" t="n"/>
      <c r="AD16" s="52" t="n"/>
      <c r="AE16" s="53" t="n"/>
      <c r="AF16" s="52" t="n"/>
      <c r="AG16" s="53" t="n"/>
      <c r="AH16" s="52" t="n"/>
      <c r="AI16" s="53" t="n"/>
      <c r="AJ16" s="52" t="n"/>
      <c r="AK16" s="53" t="n"/>
      <c r="AL16" s="54" t="n"/>
      <c r="AM16" s="55" t="n"/>
      <c r="AN16" s="54" t="n"/>
      <c r="AO16" s="55" t="n"/>
      <c r="AP16" s="52" t="n"/>
      <c r="AQ16" s="53" t="n"/>
      <c r="AR16" s="52" t="n"/>
      <c r="AS16" s="53" t="n"/>
      <c r="AT16" s="52" t="n"/>
      <c r="AU16" s="53" t="n"/>
      <c r="AV16" s="52" t="n"/>
      <c r="AW16" s="53" t="n"/>
      <c r="AX16" s="52" t="n"/>
      <c r="AY16" s="53" t="n"/>
      <c r="AZ16" s="54" t="n"/>
      <c r="BA16" s="55" t="n"/>
      <c r="BB16" s="54" t="n"/>
      <c r="BC16" s="55" t="n"/>
      <c r="BD16" s="52" t="n"/>
      <c r="BE16" s="53" t="n"/>
      <c r="BF16" s="52" t="n"/>
      <c r="BG16" s="53" t="n"/>
      <c r="BH16" s="52" t="n"/>
      <c r="BI16" s="53" t="n"/>
      <c r="BJ16" s="52" t="n"/>
      <c r="BK16" s="53" t="n"/>
      <c r="BL16" s="52" t="n"/>
      <c r="BM16" s="53" t="n"/>
      <c r="BN16" s="56">
        <f>IF($A16="","",COUNTIF(D16:BM16,"+"))</f>
        <v/>
      </c>
      <c r="BO16" s="57">
        <f>IF($A16="","",COUNTIF(D16:BM16,"x"))</f>
        <v/>
      </c>
      <c r="BP16" s="57">
        <f>IF($A16="","",COUNTIF(D16:BM16,"-"))</f>
        <v/>
      </c>
      <c r="BQ16" s="58">
        <f>IF($A16="","",BN16+BO16*0.5)</f>
        <v/>
      </c>
      <c r="BR16" s="58">
        <f>IF($A16="","",SUM(E16,G16,I16,K16,M16,O16,Q16,S16,U16,W16,Y16,AA16,AC16,AE16,AG16,AI16,AK16,AM16,AO16,AQ16,AS16,AU16,AW16,AY16,BA16,BC16,BE16,BG16,BI16,BK16,BM16))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9" t="n"/>
      <c r="G17" s="60" t="n"/>
      <c r="H17" s="59" t="n"/>
      <c r="I17" s="60" t="n"/>
      <c r="J17" s="54" t="n"/>
      <c r="K17" s="55" t="n"/>
      <c r="L17" s="54" t="n"/>
      <c r="M17" s="55" t="n"/>
      <c r="N17" s="59" t="n"/>
      <c r="O17" s="60" t="n"/>
      <c r="P17" s="59" t="n"/>
      <c r="Q17" s="60" t="n"/>
      <c r="R17" s="59" t="n"/>
      <c r="S17" s="60" t="n"/>
      <c r="T17" s="59" t="n"/>
      <c r="U17" s="60" t="n"/>
      <c r="V17" s="59" t="n"/>
      <c r="W17" s="60" t="n"/>
      <c r="X17" s="54" t="n"/>
      <c r="Y17" s="55" t="n"/>
      <c r="Z17" s="54" t="n"/>
      <c r="AA17" s="55" t="n"/>
      <c r="AB17" s="59" t="n"/>
      <c r="AC17" s="60" t="n"/>
      <c r="AD17" s="59" t="n"/>
      <c r="AE17" s="60" t="n"/>
      <c r="AF17" s="59" t="n"/>
      <c r="AG17" s="60" t="n"/>
      <c r="AH17" s="59" t="n"/>
      <c r="AI17" s="60" t="n"/>
      <c r="AJ17" s="59" t="n"/>
      <c r="AK17" s="60" t="n"/>
      <c r="AL17" s="54" t="n"/>
      <c r="AM17" s="55" t="n"/>
      <c r="AN17" s="54" t="n"/>
      <c r="AO17" s="55" t="n"/>
      <c r="AP17" s="59" t="n"/>
      <c r="AQ17" s="60" t="n"/>
      <c r="AR17" s="59" t="n"/>
      <c r="AS17" s="60" t="n"/>
      <c r="AT17" s="59" t="n"/>
      <c r="AU17" s="60" t="n"/>
      <c r="AV17" s="59" t="n"/>
      <c r="AW17" s="60" t="n"/>
      <c r="AX17" s="59" t="n"/>
      <c r="AY17" s="60" t="n"/>
      <c r="AZ17" s="54" t="n"/>
      <c r="BA17" s="55" t="n"/>
      <c r="BB17" s="54" t="n"/>
      <c r="BC17" s="55" t="n"/>
      <c r="BD17" s="59" t="n"/>
      <c r="BE17" s="60" t="n"/>
      <c r="BF17" s="59" t="n"/>
      <c r="BG17" s="60" t="n"/>
      <c r="BH17" s="59" t="n"/>
      <c r="BI17" s="60" t="n"/>
      <c r="BJ17" s="59" t="n"/>
      <c r="BK17" s="60" t="n"/>
      <c r="BL17" s="59" t="n"/>
      <c r="BM17" s="60" t="n"/>
      <c r="BN17" s="56">
        <f>IF($A17="","",COUNTIF(D17:BM17,"+"))</f>
        <v/>
      </c>
      <c r="BO17" s="57">
        <f>IF($A17="","",COUNTIF(D17:BM17,"x"))</f>
        <v/>
      </c>
      <c r="BP17" s="57">
        <f>IF($A17="","",COUNTIF(D17:BM17,"-"))</f>
        <v/>
      </c>
      <c r="BQ17" s="58">
        <f>IF($A17="","",BN17+BO17*0.5)</f>
        <v/>
      </c>
      <c r="BR17" s="58">
        <f>IF($A17="","",SUM(E17,G17,I17,K17,M17,O17,Q17,S17,U17,W17,Y17,AA17,AC17,AE17,AG17,AI17,AK17,AM17,AO17,AQ17,AS17,AU17,AW17,AY17,BA17,BC17,BE17,BG17,BI17,BK17,BM17))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2" t="n"/>
      <c r="G18" s="53" t="n"/>
      <c r="H18" s="52" t="n"/>
      <c r="I18" s="53" t="n"/>
      <c r="J18" s="54" t="n"/>
      <c r="K18" s="55" t="n"/>
      <c r="L18" s="54" t="n"/>
      <c r="M18" s="55" t="n"/>
      <c r="N18" s="52" t="n"/>
      <c r="O18" s="53" t="n"/>
      <c r="P18" s="52" t="n"/>
      <c r="Q18" s="53" t="n"/>
      <c r="R18" s="52" t="n"/>
      <c r="S18" s="53" t="n"/>
      <c r="T18" s="52" t="n"/>
      <c r="U18" s="53" t="n"/>
      <c r="V18" s="52" t="n"/>
      <c r="W18" s="53" t="n"/>
      <c r="X18" s="54" t="n"/>
      <c r="Y18" s="55" t="n"/>
      <c r="Z18" s="54" t="n"/>
      <c r="AA18" s="55" t="n"/>
      <c r="AB18" s="52" t="n"/>
      <c r="AC18" s="53" t="n"/>
      <c r="AD18" s="52" t="n"/>
      <c r="AE18" s="53" t="n"/>
      <c r="AF18" s="52" t="n"/>
      <c r="AG18" s="53" t="n"/>
      <c r="AH18" s="52" t="n"/>
      <c r="AI18" s="53" t="n"/>
      <c r="AJ18" s="52" t="n"/>
      <c r="AK18" s="53" t="n"/>
      <c r="AL18" s="54" t="n"/>
      <c r="AM18" s="55" t="n"/>
      <c r="AN18" s="54" t="n"/>
      <c r="AO18" s="55" t="n"/>
      <c r="AP18" s="52" t="n"/>
      <c r="AQ18" s="53" t="n"/>
      <c r="AR18" s="52" t="n"/>
      <c r="AS18" s="53" t="n"/>
      <c r="AT18" s="52" t="n"/>
      <c r="AU18" s="53" t="n"/>
      <c r="AV18" s="52" t="n"/>
      <c r="AW18" s="53" t="n"/>
      <c r="AX18" s="52" t="n"/>
      <c r="AY18" s="53" t="n"/>
      <c r="AZ18" s="54" t="n"/>
      <c r="BA18" s="55" t="n"/>
      <c r="BB18" s="54" t="n"/>
      <c r="BC18" s="55" t="n"/>
      <c r="BD18" s="52" t="n"/>
      <c r="BE18" s="53" t="n"/>
      <c r="BF18" s="52" t="n"/>
      <c r="BG18" s="53" t="n"/>
      <c r="BH18" s="52" t="n"/>
      <c r="BI18" s="53" t="n"/>
      <c r="BJ18" s="52" t="n"/>
      <c r="BK18" s="53" t="n"/>
      <c r="BL18" s="52" t="n"/>
      <c r="BM18" s="53" t="n"/>
      <c r="BN18" s="56">
        <f>IF($A18="","",COUNTIF(D18:BM18,"+"))</f>
        <v/>
      </c>
      <c r="BO18" s="57">
        <f>IF($A18="","",COUNTIF(D18:BM18,"x"))</f>
        <v/>
      </c>
      <c r="BP18" s="57">
        <f>IF($A18="","",COUNTIF(D18:BM18,"-"))</f>
        <v/>
      </c>
      <c r="BQ18" s="58">
        <f>IF($A18="","",BN18+BO18*0.5)</f>
        <v/>
      </c>
      <c r="BR18" s="58">
        <f>IF($A18="","",SUM(E18,G18,I18,K18,M18,O18,Q18,S18,U18,W18,Y18,AA18,AC18,AE18,AG18,AI18,AK18,AM18,AO18,AQ18,AS18,AU18,AW18,AY18,BA18,BC18,BE18,BG18,BI18,BK18,BM18))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9" t="n"/>
      <c r="G19" s="60" t="n"/>
      <c r="H19" s="59" t="n"/>
      <c r="I19" s="60" t="n"/>
      <c r="J19" s="54" t="n"/>
      <c r="K19" s="55" t="n"/>
      <c r="L19" s="54" t="n"/>
      <c r="M19" s="55" t="n"/>
      <c r="N19" s="59" t="n"/>
      <c r="O19" s="60" t="n"/>
      <c r="P19" s="59" t="n"/>
      <c r="Q19" s="60" t="n"/>
      <c r="R19" s="59" t="n"/>
      <c r="S19" s="60" t="n"/>
      <c r="T19" s="59" t="n"/>
      <c r="U19" s="60" t="n"/>
      <c r="V19" s="59" t="n"/>
      <c r="W19" s="60" t="n"/>
      <c r="X19" s="54" t="n"/>
      <c r="Y19" s="55" t="n"/>
      <c r="Z19" s="54" t="n"/>
      <c r="AA19" s="55" t="n"/>
      <c r="AB19" s="59" t="n"/>
      <c r="AC19" s="60" t="n"/>
      <c r="AD19" s="59" t="n"/>
      <c r="AE19" s="60" t="n"/>
      <c r="AF19" s="59" t="n"/>
      <c r="AG19" s="60" t="n"/>
      <c r="AH19" s="59" t="n"/>
      <c r="AI19" s="60" t="n"/>
      <c r="AJ19" s="59" t="n"/>
      <c r="AK19" s="60" t="n"/>
      <c r="AL19" s="54" t="n"/>
      <c r="AM19" s="55" t="n"/>
      <c r="AN19" s="54" t="n"/>
      <c r="AO19" s="55" t="n"/>
      <c r="AP19" s="59" t="n"/>
      <c r="AQ19" s="60" t="n"/>
      <c r="AR19" s="59" t="n"/>
      <c r="AS19" s="60" t="n"/>
      <c r="AT19" s="59" t="n"/>
      <c r="AU19" s="60" t="n"/>
      <c r="AV19" s="59" t="n"/>
      <c r="AW19" s="60" t="n"/>
      <c r="AX19" s="59" t="n"/>
      <c r="AY19" s="60" t="n"/>
      <c r="AZ19" s="54" t="n"/>
      <c r="BA19" s="55" t="n"/>
      <c r="BB19" s="54" t="n"/>
      <c r="BC19" s="55" t="n"/>
      <c r="BD19" s="59" t="n"/>
      <c r="BE19" s="60" t="n"/>
      <c r="BF19" s="59" t="n"/>
      <c r="BG19" s="60" t="n"/>
      <c r="BH19" s="59" t="n"/>
      <c r="BI19" s="60" t="n"/>
      <c r="BJ19" s="59" t="n"/>
      <c r="BK19" s="60" t="n"/>
      <c r="BL19" s="59" t="n"/>
      <c r="BM19" s="60" t="n"/>
      <c r="BN19" s="56">
        <f>IF($A19="","",COUNTIF(D19:BM19,"+"))</f>
        <v/>
      </c>
      <c r="BO19" s="57">
        <f>IF($A19="","",COUNTIF(D19:BM19,"x"))</f>
        <v/>
      </c>
      <c r="BP19" s="57">
        <f>IF($A19="","",COUNTIF(D19:BM19,"-"))</f>
        <v/>
      </c>
      <c r="BQ19" s="58">
        <f>IF($A19="","",BN19+BO19*0.5)</f>
        <v/>
      </c>
      <c r="BR19" s="58">
        <f>IF($A19="","",SUM(E19,G19,I19,K19,M19,O19,Q19,S19,U19,W19,Y19,AA19,AC19,AE19,AG19,AI19,AK19,AM19,AO19,AQ19,AS19,AU19,AW19,AY19,BA19,BC19,BE19,BG19,BI19,BK19,BM19))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2" t="n"/>
      <c r="G20" s="53" t="n"/>
      <c r="H20" s="52" t="n"/>
      <c r="I20" s="53" t="n"/>
      <c r="J20" s="54" t="n"/>
      <c r="K20" s="55" t="n"/>
      <c r="L20" s="54" t="n"/>
      <c r="M20" s="55" t="n"/>
      <c r="N20" s="52" t="n"/>
      <c r="O20" s="53" t="n"/>
      <c r="P20" s="52" t="n"/>
      <c r="Q20" s="53" t="n"/>
      <c r="R20" s="52" t="n"/>
      <c r="S20" s="53" t="n"/>
      <c r="T20" s="52" t="n"/>
      <c r="U20" s="53" t="n"/>
      <c r="V20" s="52" t="n"/>
      <c r="W20" s="53" t="n"/>
      <c r="X20" s="54" t="n"/>
      <c r="Y20" s="55" t="n"/>
      <c r="Z20" s="54" t="n"/>
      <c r="AA20" s="55" t="n"/>
      <c r="AB20" s="52" t="n"/>
      <c r="AC20" s="53" t="n"/>
      <c r="AD20" s="52" t="n"/>
      <c r="AE20" s="53" t="n"/>
      <c r="AF20" s="52" t="n"/>
      <c r="AG20" s="53" t="n"/>
      <c r="AH20" s="52" t="n"/>
      <c r="AI20" s="53" t="n"/>
      <c r="AJ20" s="52" t="n"/>
      <c r="AK20" s="53" t="n"/>
      <c r="AL20" s="54" t="n"/>
      <c r="AM20" s="55" t="n"/>
      <c r="AN20" s="54" t="n"/>
      <c r="AO20" s="55" t="n"/>
      <c r="AP20" s="52" t="n"/>
      <c r="AQ20" s="53" t="n"/>
      <c r="AR20" s="52" t="n"/>
      <c r="AS20" s="53" t="n"/>
      <c r="AT20" s="52" t="n"/>
      <c r="AU20" s="53" t="n"/>
      <c r="AV20" s="52" t="n"/>
      <c r="AW20" s="53" t="n"/>
      <c r="AX20" s="52" t="n"/>
      <c r="AY20" s="53" t="n"/>
      <c r="AZ20" s="54" t="n"/>
      <c r="BA20" s="55" t="n"/>
      <c r="BB20" s="54" t="n"/>
      <c r="BC20" s="55" t="n"/>
      <c r="BD20" s="52" t="n"/>
      <c r="BE20" s="53" t="n"/>
      <c r="BF20" s="52" t="n"/>
      <c r="BG20" s="53" t="n"/>
      <c r="BH20" s="52" t="n"/>
      <c r="BI20" s="53" t="n"/>
      <c r="BJ20" s="52" t="n"/>
      <c r="BK20" s="53" t="n"/>
      <c r="BL20" s="52" t="n"/>
      <c r="BM20" s="53" t="n"/>
      <c r="BN20" s="56">
        <f>IF($A20="","",COUNTIF(D20:BM20,"+"))</f>
        <v/>
      </c>
      <c r="BO20" s="57">
        <f>IF($A20="","",COUNTIF(D20:BM20,"x"))</f>
        <v/>
      </c>
      <c r="BP20" s="57">
        <f>IF($A20="","",COUNTIF(D20:BM20,"-"))</f>
        <v/>
      </c>
      <c r="BQ20" s="58">
        <f>IF($A20="","",BN20+BO20*0.5)</f>
        <v/>
      </c>
      <c r="BR20" s="58">
        <f>IF($A20="","",SUM(E20,G20,I20,K20,M20,O20,Q20,S20,U20,W20,Y20,AA20,AC20,AE20,AG20,AI20,AK20,AM20,AO20,AQ20,AS20,AU20,AW20,AY20,BA20,BC20,BE20,BG20,BI20,BK20,BM20))</f>
        <v/>
      </c>
    </row>
  </sheetData>
  <mergeCells count="44">
    <mergeCell ref="F4:G4"/>
    <mergeCell ref="P4:Q4"/>
    <mergeCell ref="AX4:AY4"/>
    <mergeCell ref="BH4:BI4"/>
    <mergeCell ref="C4:C5"/>
    <mergeCell ref="BJ4:BK4"/>
    <mergeCell ref="BP4:BP5"/>
    <mergeCell ref="H4:I4"/>
    <mergeCell ref="BQ4:BQ5"/>
    <mergeCell ref="R4:S4"/>
    <mergeCell ref="A2:C2"/>
    <mergeCell ref="AB4:AC4"/>
    <mergeCell ref="T4:U4"/>
    <mergeCell ref="AF4:AG4"/>
    <mergeCell ref="V4:W4"/>
    <mergeCell ref="AH4:AI4"/>
    <mergeCell ref="AN4:AO4"/>
    <mergeCell ref="BN4:BN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R4:BR5"/>
    <mergeCell ref="D4:E4"/>
    <mergeCell ref="N2:Q2"/>
    <mergeCell ref="D2:G2"/>
    <mergeCell ref="BO4:BO5"/>
    <mergeCell ref="X4:Y4"/>
    <mergeCell ref="AJ4:AK4"/>
    <mergeCell ref="Z4:AA4"/>
    <mergeCell ref="B4:B5"/>
    <mergeCell ref="AL4:AM4"/>
    <mergeCell ref="A1:BR1"/>
    <mergeCell ref="AD4:AE4"/>
    <mergeCell ref="AP4:AQ4"/>
    <mergeCell ref="N4:O4"/>
  </mergeCells>
  <conditionalFormatting sqref="D6:BM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 BL6:BL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 BM6:BM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R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4.6" customWidth="1" min="64" max="64"/>
    <col width="5.8" customWidth="1" min="65" max="65"/>
    <col width="9" customWidth="1" min="66" max="66"/>
    <col width="9" customWidth="1" min="67" max="67"/>
    <col width="9" customWidth="1" min="68" max="68"/>
    <col width="11" customWidth="1" min="69" max="69"/>
    <col width="11" customWidth="1" min="70" max="70"/>
  </cols>
  <sheetData>
    <row r="1" ht="32" customHeight="1">
      <c r="A1" s="1" t="inlineStr">
        <is>
          <t>AĞUSTOS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 ht="20" customHeight="1">
      <c r="A2" s="25" t="inlineStr">
        <is>
          <t>Takvim gün sayısı: 31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49" t="inlineStr">
        <is>
          <t>1
Cmt</t>
        </is>
      </c>
      <c r="E4" s="49" t="n"/>
      <c r="F4" s="49" t="inlineStr">
        <is>
          <t>2
Paz</t>
        </is>
      </c>
      <c r="G4" s="49" t="n"/>
      <c r="H4" s="23" t="inlineStr">
        <is>
          <t>3
Pzt</t>
        </is>
      </c>
      <c r="I4" s="23" t="n"/>
      <c r="J4" s="23" t="inlineStr">
        <is>
          <t>4
Sal</t>
        </is>
      </c>
      <c r="K4" s="23" t="n"/>
      <c r="L4" s="23" t="inlineStr">
        <is>
          <t>5
Çar</t>
        </is>
      </c>
      <c r="M4" s="23" t="n"/>
      <c r="N4" s="23" t="inlineStr">
        <is>
          <t>6
Per</t>
        </is>
      </c>
      <c r="O4" s="23" t="n"/>
      <c r="P4" s="23" t="inlineStr">
        <is>
          <t>7
Cum</t>
        </is>
      </c>
      <c r="Q4" s="23" t="n"/>
      <c r="R4" s="49" t="inlineStr">
        <is>
          <t>8
Cmt</t>
        </is>
      </c>
      <c r="S4" s="49" t="n"/>
      <c r="T4" s="49" t="inlineStr">
        <is>
          <t>9
Paz</t>
        </is>
      </c>
      <c r="U4" s="49" t="n"/>
      <c r="V4" s="23" t="inlineStr">
        <is>
          <t>10
Pzt</t>
        </is>
      </c>
      <c r="W4" s="23" t="n"/>
      <c r="X4" s="23" t="inlineStr">
        <is>
          <t>11
Sal</t>
        </is>
      </c>
      <c r="Y4" s="23" t="n"/>
      <c r="Z4" s="23" t="inlineStr">
        <is>
          <t>12
Çar</t>
        </is>
      </c>
      <c r="AA4" s="23" t="n"/>
      <c r="AB4" s="23" t="inlineStr">
        <is>
          <t>13
Per</t>
        </is>
      </c>
      <c r="AC4" s="23" t="n"/>
      <c r="AD4" s="23" t="inlineStr">
        <is>
          <t>14
Cum</t>
        </is>
      </c>
      <c r="AE4" s="23" t="n"/>
      <c r="AF4" s="49" t="inlineStr">
        <is>
          <t>15
Cmt</t>
        </is>
      </c>
      <c r="AG4" s="49" t="n"/>
      <c r="AH4" s="49" t="inlineStr">
        <is>
          <t>16
Paz</t>
        </is>
      </c>
      <c r="AI4" s="49" t="n"/>
      <c r="AJ4" s="23" t="inlineStr">
        <is>
          <t>17
Pzt</t>
        </is>
      </c>
      <c r="AK4" s="23" t="n"/>
      <c r="AL4" s="23" t="inlineStr">
        <is>
          <t>18
Sal</t>
        </is>
      </c>
      <c r="AM4" s="23" t="n"/>
      <c r="AN4" s="23" t="inlineStr">
        <is>
          <t>19
Çar</t>
        </is>
      </c>
      <c r="AO4" s="23" t="n"/>
      <c r="AP4" s="23" t="inlineStr">
        <is>
          <t>20
Per</t>
        </is>
      </c>
      <c r="AQ4" s="23" t="n"/>
      <c r="AR4" s="23" t="inlineStr">
        <is>
          <t>21
Cum</t>
        </is>
      </c>
      <c r="AS4" s="23" t="n"/>
      <c r="AT4" s="49" t="inlineStr">
        <is>
          <t>22
Cmt</t>
        </is>
      </c>
      <c r="AU4" s="49" t="n"/>
      <c r="AV4" s="49" t="inlineStr">
        <is>
          <t>23
Paz</t>
        </is>
      </c>
      <c r="AW4" s="49" t="n"/>
      <c r="AX4" s="23" t="inlineStr">
        <is>
          <t>24
Pzt</t>
        </is>
      </c>
      <c r="AY4" s="23" t="n"/>
      <c r="AZ4" s="23" t="inlineStr">
        <is>
          <t>25
Sal</t>
        </is>
      </c>
      <c r="BA4" s="23" t="n"/>
      <c r="BB4" s="23" t="inlineStr">
        <is>
          <t>26
Çar</t>
        </is>
      </c>
      <c r="BC4" s="23" t="n"/>
      <c r="BD4" s="23" t="inlineStr">
        <is>
          <t>27
Per</t>
        </is>
      </c>
      <c r="BE4" s="23" t="n"/>
      <c r="BF4" s="23" t="inlineStr">
        <is>
          <t>28
Cum</t>
        </is>
      </c>
      <c r="BG4" s="23" t="n"/>
      <c r="BH4" s="49" t="inlineStr">
        <is>
          <t>29
Cmt</t>
        </is>
      </c>
      <c r="BI4" s="49" t="n"/>
      <c r="BJ4" s="49" t="inlineStr">
        <is>
          <t>30
Paz</t>
        </is>
      </c>
      <c r="BK4" s="49" t="n"/>
      <c r="BL4" s="23" t="inlineStr">
        <is>
          <t>31
Pzt</t>
        </is>
      </c>
      <c r="BM4" s="23" t="n"/>
      <c r="BN4" s="50" t="inlineStr">
        <is>
          <t>Tam Gün
(+)</t>
        </is>
      </c>
      <c r="BO4" s="10" t="inlineStr">
        <is>
          <t>Yarım Gün
(x)</t>
        </is>
      </c>
      <c r="BP4" s="10" t="inlineStr">
        <is>
          <t>Gelmediği
Gün (-)</t>
        </is>
      </c>
      <c r="BQ4" s="10" t="inlineStr">
        <is>
          <t>Fiili
Çalışılan Gün</t>
        </is>
      </c>
      <c r="BR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1" t="inlineStr">
        <is>
          <t>Drm</t>
        </is>
      </c>
      <c r="BM5" s="51" t="inlineStr">
        <is>
          <t>Mesai</t>
        </is>
      </c>
      <c r="BN5" s="50" t="n"/>
      <c r="BO5" s="10" t="n"/>
      <c r="BP5" s="10" t="n"/>
      <c r="BQ5" s="10" t="n"/>
      <c r="BR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4" t="n"/>
      <c r="E6" s="55" t="n"/>
      <c r="F6" s="54" t="n"/>
      <c r="G6" s="55" t="n"/>
      <c r="H6" s="52" t="n"/>
      <c r="I6" s="53" t="n"/>
      <c r="J6" s="52" t="n"/>
      <c r="K6" s="53" t="n"/>
      <c r="L6" s="52" t="n"/>
      <c r="M6" s="53" t="n"/>
      <c r="N6" s="52" t="n"/>
      <c r="O6" s="53" t="n"/>
      <c r="P6" s="52" t="n"/>
      <c r="Q6" s="53" t="n"/>
      <c r="R6" s="54" t="n"/>
      <c r="S6" s="55" t="n"/>
      <c r="T6" s="54" t="n"/>
      <c r="U6" s="55" t="n"/>
      <c r="V6" s="52" t="n"/>
      <c r="W6" s="53" t="n"/>
      <c r="X6" s="52" t="n"/>
      <c r="Y6" s="53" t="n"/>
      <c r="Z6" s="52" t="n"/>
      <c r="AA6" s="53" t="n"/>
      <c r="AB6" s="52" t="n"/>
      <c r="AC6" s="53" t="n"/>
      <c r="AD6" s="52" t="n"/>
      <c r="AE6" s="53" t="n"/>
      <c r="AF6" s="54" t="n"/>
      <c r="AG6" s="55" t="n"/>
      <c r="AH6" s="54" t="n"/>
      <c r="AI6" s="55" t="n"/>
      <c r="AJ6" s="52" t="n"/>
      <c r="AK6" s="53" t="n"/>
      <c r="AL6" s="52" t="n"/>
      <c r="AM6" s="53" t="n"/>
      <c r="AN6" s="52" t="n"/>
      <c r="AO6" s="53" t="n"/>
      <c r="AP6" s="52" t="n"/>
      <c r="AQ6" s="53" t="n"/>
      <c r="AR6" s="52" t="n"/>
      <c r="AS6" s="53" t="n"/>
      <c r="AT6" s="54" t="n"/>
      <c r="AU6" s="55" t="n"/>
      <c r="AV6" s="54" t="n"/>
      <c r="AW6" s="55" t="n"/>
      <c r="AX6" s="52" t="n"/>
      <c r="AY6" s="53" t="n"/>
      <c r="AZ6" s="52" t="n"/>
      <c r="BA6" s="53" t="n"/>
      <c r="BB6" s="52" t="n"/>
      <c r="BC6" s="53" t="n"/>
      <c r="BD6" s="52" t="n"/>
      <c r="BE6" s="53" t="n"/>
      <c r="BF6" s="52" t="n"/>
      <c r="BG6" s="53" t="n"/>
      <c r="BH6" s="54" t="n"/>
      <c r="BI6" s="55" t="n"/>
      <c r="BJ6" s="54" t="n"/>
      <c r="BK6" s="55" t="n"/>
      <c r="BL6" s="52" t="n"/>
      <c r="BM6" s="53" t="n"/>
      <c r="BN6" s="56">
        <f>IF($A6="","",COUNTIF(D6:BM6,"+"))</f>
        <v/>
      </c>
      <c r="BO6" s="57">
        <f>IF($A6="","",COUNTIF(D6:BM6,"x"))</f>
        <v/>
      </c>
      <c r="BP6" s="57">
        <f>IF($A6="","",COUNTIF(D6:BM6,"-"))</f>
        <v/>
      </c>
      <c r="BQ6" s="58">
        <f>IF($A6="","",BN6+BO6*0.5)</f>
        <v/>
      </c>
      <c r="BR6" s="58">
        <f>IF($A6="","",SUM(E6,G6,I6,K6,M6,O6,Q6,S6,U6,W6,Y6,AA6,AC6,AE6,AG6,AI6,AK6,AM6,AO6,AQ6,AS6,AU6,AW6,AY6,BA6,BC6,BE6,BG6,BI6,BK6,BM6))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4" t="n"/>
      <c r="E7" s="55" t="n"/>
      <c r="F7" s="54" t="n"/>
      <c r="G7" s="55" t="n"/>
      <c r="H7" s="59" t="n"/>
      <c r="I7" s="60" t="n"/>
      <c r="J7" s="59" t="n"/>
      <c r="K7" s="60" t="n"/>
      <c r="L7" s="59" t="n"/>
      <c r="M7" s="60" t="n"/>
      <c r="N7" s="59" t="n"/>
      <c r="O7" s="60" t="n"/>
      <c r="P7" s="59" t="n"/>
      <c r="Q7" s="60" t="n"/>
      <c r="R7" s="54" t="n"/>
      <c r="S7" s="55" t="n"/>
      <c r="T7" s="54" t="n"/>
      <c r="U7" s="55" t="n"/>
      <c r="V7" s="59" t="n"/>
      <c r="W7" s="60" t="n"/>
      <c r="X7" s="59" t="n"/>
      <c r="Y7" s="60" t="n"/>
      <c r="Z7" s="59" t="n"/>
      <c r="AA7" s="60" t="n"/>
      <c r="AB7" s="59" t="n"/>
      <c r="AC7" s="60" t="n"/>
      <c r="AD7" s="59" t="n"/>
      <c r="AE7" s="60" t="n"/>
      <c r="AF7" s="54" t="n"/>
      <c r="AG7" s="55" t="n"/>
      <c r="AH7" s="54" t="n"/>
      <c r="AI7" s="55" t="n"/>
      <c r="AJ7" s="59" t="n"/>
      <c r="AK7" s="60" t="n"/>
      <c r="AL7" s="59" t="n"/>
      <c r="AM7" s="60" t="n"/>
      <c r="AN7" s="59" t="n"/>
      <c r="AO7" s="60" t="n"/>
      <c r="AP7" s="59" t="n"/>
      <c r="AQ7" s="60" t="n"/>
      <c r="AR7" s="59" t="n"/>
      <c r="AS7" s="60" t="n"/>
      <c r="AT7" s="54" t="n"/>
      <c r="AU7" s="55" t="n"/>
      <c r="AV7" s="54" t="n"/>
      <c r="AW7" s="55" t="n"/>
      <c r="AX7" s="59" t="n"/>
      <c r="AY7" s="60" t="n"/>
      <c r="AZ7" s="59" t="n"/>
      <c r="BA7" s="60" t="n"/>
      <c r="BB7" s="59" t="n"/>
      <c r="BC7" s="60" t="n"/>
      <c r="BD7" s="59" t="n"/>
      <c r="BE7" s="60" t="n"/>
      <c r="BF7" s="59" t="n"/>
      <c r="BG7" s="60" t="n"/>
      <c r="BH7" s="54" t="n"/>
      <c r="BI7" s="55" t="n"/>
      <c r="BJ7" s="54" t="n"/>
      <c r="BK7" s="55" t="n"/>
      <c r="BL7" s="59" t="n"/>
      <c r="BM7" s="60" t="n"/>
      <c r="BN7" s="56">
        <f>IF($A7="","",COUNTIF(D7:BM7,"+"))</f>
        <v/>
      </c>
      <c r="BO7" s="57">
        <f>IF($A7="","",COUNTIF(D7:BM7,"x"))</f>
        <v/>
      </c>
      <c r="BP7" s="57">
        <f>IF($A7="","",COUNTIF(D7:BM7,"-"))</f>
        <v/>
      </c>
      <c r="BQ7" s="58">
        <f>IF($A7="","",BN7+BO7*0.5)</f>
        <v/>
      </c>
      <c r="BR7" s="58">
        <f>IF($A7="","",SUM(E7,G7,I7,K7,M7,O7,Q7,S7,U7,W7,Y7,AA7,AC7,AE7,AG7,AI7,AK7,AM7,AO7,AQ7,AS7,AU7,AW7,AY7,BA7,BC7,BE7,BG7,BI7,BK7,BM7))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4" t="n"/>
      <c r="E8" s="55" t="n"/>
      <c r="F8" s="54" t="n"/>
      <c r="G8" s="55" t="n"/>
      <c r="H8" s="52" t="n"/>
      <c r="I8" s="53" t="n"/>
      <c r="J8" s="52" t="n"/>
      <c r="K8" s="53" t="n"/>
      <c r="L8" s="52" t="n"/>
      <c r="M8" s="53" t="n"/>
      <c r="N8" s="52" t="n"/>
      <c r="O8" s="53" t="n"/>
      <c r="P8" s="52" t="n"/>
      <c r="Q8" s="53" t="n"/>
      <c r="R8" s="54" t="n"/>
      <c r="S8" s="55" t="n"/>
      <c r="T8" s="54" t="n"/>
      <c r="U8" s="55" t="n"/>
      <c r="V8" s="52" t="n"/>
      <c r="W8" s="53" t="n"/>
      <c r="X8" s="52" t="n"/>
      <c r="Y8" s="53" t="n"/>
      <c r="Z8" s="52" t="n"/>
      <c r="AA8" s="53" t="n"/>
      <c r="AB8" s="52" t="n"/>
      <c r="AC8" s="53" t="n"/>
      <c r="AD8" s="52" t="n"/>
      <c r="AE8" s="53" t="n"/>
      <c r="AF8" s="54" t="n"/>
      <c r="AG8" s="55" t="n"/>
      <c r="AH8" s="54" t="n"/>
      <c r="AI8" s="55" t="n"/>
      <c r="AJ8" s="52" t="n"/>
      <c r="AK8" s="53" t="n"/>
      <c r="AL8" s="52" t="n"/>
      <c r="AM8" s="53" t="n"/>
      <c r="AN8" s="52" t="n"/>
      <c r="AO8" s="53" t="n"/>
      <c r="AP8" s="52" t="n"/>
      <c r="AQ8" s="53" t="n"/>
      <c r="AR8" s="52" t="n"/>
      <c r="AS8" s="53" t="n"/>
      <c r="AT8" s="54" t="n"/>
      <c r="AU8" s="55" t="n"/>
      <c r="AV8" s="54" t="n"/>
      <c r="AW8" s="55" t="n"/>
      <c r="AX8" s="52" t="n"/>
      <c r="AY8" s="53" t="n"/>
      <c r="AZ8" s="52" t="n"/>
      <c r="BA8" s="53" t="n"/>
      <c r="BB8" s="52" t="n"/>
      <c r="BC8" s="53" t="n"/>
      <c r="BD8" s="52" t="n"/>
      <c r="BE8" s="53" t="n"/>
      <c r="BF8" s="52" t="n"/>
      <c r="BG8" s="53" t="n"/>
      <c r="BH8" s="54" t="n"/>
      <c r="BI8" s="55" t="n"/>
      <c r="BJ8" s="54" t="n"/>
      <c r="BK8" s="55" t="n"/>
      <c r="BL8" s="52" t="n"/>
      <c r="BM8" s="53" t="n"/>
      <c r="BN8" s="56">
        <f>IF($A8="","",COUNTIF(D8:BM8,"+"))</f>
        <v/>
      </c>
      <c r="BO8" s="57">
        <f>IF($A8="","",COUNTIF(D8:BM8,"x"))</f>
        <v/>
      </c>
      <c r="BP8" s="57">
        <f>IF($A8="","",COUNTIF(D8:BM8,"-"))</f>
        <v/>
      </c>
      <c r="BQ8" s="58">
        <f>IF($A8="","",BN8+BO8*0.5)</f>
        <v/>
      </c>
      <c r="BR8" s="58">
        <f>IF($A8="","",SUM(E8,G8,I8,K8,M8,O8,Q8,S8,U8,W8,Y8,AA8,AC8,AE8,AG8,AI8,AK8,AM8,AO8,AQ8,AS8,AU8,AW8,AY8,BA8,BC8,BE8,BG8,BI8,BK8,BM8))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4" t="n"/>
      <c r="E9" s="55" t="n"/>
      <c r="F9" s="54" t="n"/>
      <c r="G9" s="55" t="n"/>
      <c r="H9" s="59" t="n"/>
      <c r="I9" s="60" t="n"/>
      <c r="J9" s="59" t="n"/>
      <c r="K9" s="60" t="n"/>
      <c r="L9" s="59" t="n"/>
      <c r="M9" s="60" t="n"/>
      <c r="N9" s="59" t="n"/>
      <c r="O9" s="60" t="n"/>
      <c r="P9" s="59" t="n"/>
      <c r="Q9" s="60" t="n"/>
      <c r="R9" s="54" t="n"/>
      <c r="S9" s="55" t="n"/>
      <c r="T9" s="54" t="n"/>
      <c r="U9" s="55" t="n"/>
      <c r="V9" s="59" t="n"/>
      <c r="W9" s="60" t="n"/>
      <c r="X9" s="59" t="n"/>
      <c r="Y9" s="60" t="n"/>
      <c r="Z9" s="59" t="n"/>
      <c r="AA9" s="60" t="n"/>
      <c r="AB9" s="59" t="n"/>
      <c r="AC9" s="60" t="n"/>
      <c r="AD9" s="59" t="n"/>
      <c r="AE9" s="60" t="n"/>
      <c r="AF9" s="54" t="n"/>
      <c r="AG9" s="55" t="n"/>
      <c r="AH9" s="54" t="n"/>
      <c r="AI9" s="55" t="n"/>
      <c r="AJ9" s="59" t="n"/>
      <c r="AK9" s="60" t="n"/>
      <c r="AL9" s="59" t="n"/>
      <c r="AM9" s="60" t="n"/>
      <c r="AN9" s="59" t="n"/>
      <c r="AO9" s="60" t="n"/>
      <c r="AP9" s="59" t="n"/>
      <c r="AQ9" s="60" t="n"/>
      <c r="AR9" s="59" t="n"/>
      <c r="AS9" s="60" t="n"/>
      <c r="AT9" s="54" t="n"/>
      <c r="AU9" s="55" t="n"/>
      <c r="AV9" s="54" t="n"/>
      <c r="AW9" s="55" t="n"/>
      <c r="AX9" s="59" t="n"/>
      <c r="AY9" s="60" t="n"/>
      <c r="AZ9" s="59" t="n"/>
      <c r="BA9" s="60" t="n"/>
      <c r="BB9" s="59" t="n"/>
      <c r="BC9" s="60" t="n"/>
      <c r="BD9" s="59" t="n"/>
      <c r="BE9" s="60" t="n"/>
      <c r="BF9" s="59" t="n"/>
      <c r="BG9" s="60" t="n"/>
      <c r="BH9" s="54" t="n"/>
      <c r="BI9" s="55" t="n"/>
      <c r="BJ9" s="54" t="n"/>
      <c r="BK9" s="55" t="n"/>
      <c r="BL9" s="59" t="n"/>
      <c r="BM9" s="60" t="n"/>
      <c r="BN9" s="56">
        <f>IF($A9="","",COUNTIF(D9:BM9,"+"))</f>
        <v/>
      </c>
      <c r="BO9" s="57">
        <f>IF($A9="","",COUNTIF(D9:BM9,"x"))</f>
        <v/>
      </c>
      <c r="BP9" s="57">
        <f>IF($A9="","",COUNTIF(D9:BM9,"-"))</f>
        <v/>
      </c>
      <c r="BQ9" s="58">
        <f>IF($A9="","",BN9+BO9*0.5)</f>
        <v/>
      </c>
      <c r="BR9" s="58">
        <f>IF($A9="","",SUM(E9,G9,I9,K9,M9,O9,Q9,S9,U9,W9,Y9,AA9,AC9,AE9,AG9,AI9,AK9,AM9,AO9,AQ9,AS9,AU9,AW9,AY9,BA9,BC9,BE9,BG9,BI9,BK9,BM9))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4" t="n"/>
      <c r="E10" s="55" t="n"/>
      <c r="F10" s="54" t="n"/>
      <c r="G10" s="55" t="n"/>
      <c r="H10" s="52" t="n"/>
      <c r="I10" s="53" t="n"/>
      <c r="J10" s="52" t="n"/>
      <c r="K10" s="53" t="n"/>
      <c r="L10" s="52" t="n"/>
      <c r="M10" s="53" t="n"/>
      <c r="N10" s="52" t="n"/>
      <c r="O10" s="53" t="n"/>
      <c r="P10" s="52" t="n"/>
      <c r="Q10" s="53" t="n"/>
      <c r="R10" s="54" t="n"/>
      <c r="S10" s="55" t="n"/>
      <c r="T10" s="54" t="n"/>
      <c r="U10" s="55" t="n"/>
      <c r="V10" s="52" t="n"/>
      <c r="W10" s="53" t="n"/>
      <c r="X10" s="52" t="n"/>
      <c r="Y10" s="53" t="n"/>
      <c r="Z10" s="52" t="n"/>
      <c r="AA10" s="53" t="n"/>
      <c r="AB10" s="52" t="n"/>
      <c r="AC10" s="53" t="n"/>
      <c r="AD10" s="52" t="n"/>
      <c r="AE10" s="53" t="n"/>
      <c r="AF10" s="54" t="n"/>
      <c r="AG10" s="55" t="n"/>
      <c r="AH10" s="54" t="n"/>
      <c r="AI10" s="55" t="n"/>
      <c r="AJ10" s="52" t="n"/>
      <c r="AK10" s="53" t="n"/>
      <c r="AL10" s="52" t="n"/>
      <c r="AM10" s="53" t="n"/>
      <c r="AN10" s="52" t="n"/>
      <c r="AO10" s="53" t="n"/>
      <c r="AP10" s="52" t="n"/>
      <c r="AQ10" s="53" t="n"/>
      <c r="AR10" s="52" t="n"/>
      <c r="AS10" s="53" t="n"/>
      <c r="AT10" s="54" t="n"/>
      <c r="AU10" s="55" t="n"/>
      <c r="AV10" s="54" t="n"/>
      <c r="AW10" s="55" t="n"/>
      <c r="AX10" s="52" t="n"/>
      <c r="AY10" s="53" t="n"/>
      <c r="AZ10" s="52" t="n"/>
      <c r="BA10" s="53" t="n"/>
      <c r="BB10" s="52" t="n"/>
      <c r="BC10" s="53" t="n"/>
      <c r="BD10" s="52" t="n"/>
      <c r="BE10" s="53" t="n"/>
      <c r="BF10" s="52" t="n"/>
      <c r="BG10" s="53" t="n"/>
      <c r="BH10" s="54" t="n"/>
      <c r="BI10" s="55" t="n"/>
      <c r="BJ10" s="54" t="n"/>
      <c r="BK10" s="55" t="n"/>
      <c r="BL10" s="52" t="n"/>
      <c r="BM10" s="53" t="n"/>
      <c r="BN10" s="56">
        <f>IF($A10="","",COUNTIF(D10:BM10,"+"))</f>
        <v/>
      </c>
      <c r="BO10" s="57">
        <f>IF($A10="","",COUNTIF(D10:BM10,"x"))</f>
        <v/>
      </c>
      <c r="BP10" s="57">
        <f>IF($A10="","",COUNTIF(D10:BM10,"-"))</f>
        <v/>
      </c>
      <c r="BQ10" s="58">
        <f>IF($A10="","",BN10+BO10*0.5)</f>
        <v/>
      </c>
      <c r="BR10" s="58">
        <f>IF($A10="","",SUM(E10,G10,I10,K10,M10,O10,Q10,S10,U10,W10,Y10,AA10,AC10,AE10,AG10,AI10,AK10,AM10,AO10,AQ10,AS10,AU10,AW10,AY10,BA10,BC10,BE10,BG10,BI10,BK10,BM10))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4" t="n"/>
      <c r="E11" s="55" t="n"/>
      <c r="F11" s="54" t="n"/>
      <c r="G11" s="55" t="n"/>
      <c r="H11" s="59" t="n"/>
      <c r="I11" s="60" t="n"/>
      <c r="J11" s="59" t="n"/>
      <c r="K11" s="60" t="n"/>
      <c r="L11" s="59" t="n"/>
      <c r="M11" s="60" t="n"/>
      <c r="N11" s="59" t="n"/>
      <c r="O11" s="60" t="n"/>
      <c r="P11" s="59" t="n"/>
      <c r="Q11" s="60" t="n"/>
      <c r="R11" s="54" t="n"/>
      <c r="S11" s="55" t="n"/>
      <c r="T11" s="54" t="n"/>
      <c r="U11" s="55" t="n"/>
      <c r="V11" s="59" t="n"/>
      <c r="W11" s="60" t="n"/>
      <c r="X11" s="59" t="n"/>
      <c r="Y11" s="60" t="n"/>
      <c r="Z11" s="59" t="n"/>
      <c r="AA11" s="60" t="n"/>
      <c r="AB11" s="59" t="n"/>
      <c r="AC11" s="60" t="n"/>
      <c r="AD11" s="59" t="n"/>
      <c r="AE11" s="60" t="n"/>
      <c r="AF11" s="54" t="n"/>
      <c r="AG11" s="55" t="n"/>
      <c r="AH11" s="54" t="n"/>
      <c r="AI11" s="55" t="n"/>
      <c r="AJ11" s="59" t="n"/>
      <c r="AK11" s="60" t="n"/>
      <c r="AL11" s="59" t="n"/>
      <c r="AM11" s="60" t="n"/>
      <c r="AN11" s="59" t="n"/>
      <c r="AO11" s="60" t="n"/>
      <c r="AP11" s="59" t="n"/>
      <c r="AQ11" s="60" t="n"/>
      <c r="AR11" s="59" t="n"/>
      <c r="AS11" s="60" t="n"/>
      <c r="AT11" s="54" t="n"/>
      <c r="AU11" s="55" t="n"/>
      <c r="AV11" s="54" t="n"/>
      <c r="AW11" s="55" t="n"/>
      <c r="AX11" s="59" t="n"/>
      <c r="AY11" s="60" t="n"/>
      <c r="AZ11" s="59" t="n"/>
      <c r="BA11" s="60" t="n"/>
      <c r="BB11" s="59" t="n"/>
      <c r="BC11" s="60" t="n"/>
      <c r="BD11" s="59" t="n"/>
      <c r="BE11" s="60" t="n"/>
      <c r="BF11" s="59" t="n"/>
      <c r="BG11" s="60" t="n"/>
      <c r="BH11" s="54" t="n"/>
      <c r="BI11" s="55" t="n"/>
      <c r="BJ11" s="54" t="n"/>
      <c r="BK11" s="55" t="n"/>
      <c r="BL11" s="59" t="n"/>
      <c r="BM11" s="60" t="n"/>
      <c r="BN11" s="56">
        <f>IF($A11="","",COUNTIF(D11:BM11,"+"))</f>
        <v/>
      </c>
      <c r="BO11" s="57">
        <f>IF($A11="","",COUNTIF(D11:BM11,"x"))</f>
        <v/>
      </c>
      <c r="BP11" s="57">
        <f>IF($A11="","",COUNTIF(D11:BM11,"-"))</f>
        <v/>
      </c>
      <c r="BQ11" s="58">
        <f>IF($A11="","",BN11+BO11*0.5)</f>
        <v/>
      </c>
      <c r="BR11" s="58">
        <f>IF($A11="","",SUM(E11,G11,I11,K11,M11,O11,Q11,S11,U11,W11,Y11,AA11,AC11,AE11,AG11,AI11,AK11,AM11,AO11,AQ11,AS11,AU11,AW11,AY11,BA11,BC11,BE11,BG11,BI11,BK11,BM11))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4" t="n"/>
      <c r="E12" s="55" t="n"/>
      <c r="F12" s="54" t="n"/>
      <c r="G12" s="55" t="n"/>
      <c r="H12" s="52" t="n"/>
      <c r="I12" s="53" t="n"/>
      <c r="J12" s="52" t="n"/>
      <c r="K12" s="53" t="n"/>
      <c r="L12" s="52" t="n"/>
      <c r="M12" s="53" t="n"/>
      <c r="N12" s="52" t="n"/>
      <c r="O12" s="53" t="n"/>
      <c r="P12" s="52" t="n"/>
      <c r="Q12" s="53" t="n"/>
      <c r="R12" s="54" t="n"/>
      <c r="S12" s="55" t="n"/>
      <c r="T12" s="54" t="n"/>
      <c r="U12" s="55" t="n"/>
      <c r="V12" s="52" t="n"/>
      <c r="W12" s="53" t="n"/>
      <c r="X12" s="52" t="n"/>
      <c r="Y12" s="53" t="n"/>
      <c r="Z12" s="52" t="n"/>
      <c r="AA12" s="53" t="n"/>
      <c r="AB12" s="52" t="n"/>
      <c r="AC12" s="53" t="n"/>
      <c r="AD12" s="52" t="n"/>
      <c r="AE12" s="53" t="n"/>
      <c r="AF12" s="54" t="n"/>
      <c r="AG12" s="55" t="n"/>
      <c r="AH12" s="54" t="n"/>
      <c r="AI12" s="55" t="n"/>
      <c r="AJ12" s="52" t="n"/>
      <c r="AK12" s="53" t="n"/>
      <c r="AL12" s="52" t="n"/>
      <c r="AM12" s="53" t="n"/>
      <c r="AN12" s="52" t="n"/>
      <c r="AO12" s="53" t="n"/>
      <c r="AP12" s="52" t="n"/>
      <c r="AQ12" s="53" t="n"/>
      <c r="AR12" s="52" t="n"/>
      <c r="AS12" s="53" t="n"/>
      <c r="AT12" s="54" t="n"/>
      <c r="AU12" s="55" t="n"/>
      <c r="AV12" s="54" t="n"/>
      <c r="AW12" s="55" t="n"/>
      <c r="AX12" s="52" t="n"/>
      <c r="AY12" s="53" t="n"/>
      <c r="AZ12" s="52" t="n"/>
      <c r="BA12" s="53" t="n"/>
      <c r="BB12" s="52" t="n"/>
      <c r="BC12" s="53" t="n"/>
      <c r="BD12" s="52" t="n"/>
      <c r="BE12" s="53" t="n"/>
      <c r="BF12" s="52" t="n"/>
      <c r="BG12" s="53" t="n"/>
      <c r="BH12" s="54" t="n"/>
      <c r="BI12" s="55" t="n"/>
      <c r="BJ12" s="54" t="n"/>
      <c r="BK12" s="55" t="n"/>
      <c r="BL12" s="52" t="n"/>
      <c r="BM12" s="53" t="n"/>
      <c r="BN12" s="56">
        <f>IF($A12="","",COUNTIF(D12:BM12,"+"))</f>
        <v/>
      </c>
      <c r="BO12" s="57">
        <f>IF($A12="","",COUNTIF(D12:BM12,"x"))</f>
        <v/>
      </c>
      <c r="BP12" s="57">
        <f>IF($A12="","",COUNTIF(D12:BM12,"-"))</f>
        <v/>
      </c>
      <c r="BQ12" s="58">
        <f>IF($A12="","",BN12+BO12*0.5)</f>
        <v/>
      </c>
      <c r="BR12" s="58">
        <f>IF($A12="","",SUM(E12,G12,I12,K12,M12,O12,Q12,S12,U12,W12,Y12,AA12,AC12,AE12,AG12,AI12,AK12,AM12,AO12,AQ12,AS12,AU12,AW12,AY12,BA12,BC12,BE12,BG12,BI12,BK12,BM12))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4" t="n"/>
      <c r="E13" s="55" t="n"/>
      <c r="F13" s="54" t="n"/>
      <c r="G13" s="55" t="n"/>
      <c r="H13" s="59" t="n"/>
      <c r="I13" s="60" t="n"/>
      <c r="J13" s="59" t="n"/>
      <c r="K13" s="60" t="n"/>
      <c r="L13" s="59" t="n"/>
      <c r="M13" s="60" t="n"/>
      <c r="N13" s="59" t="n"/>
      <c r="O13" s="60" t="n"/>
      <c r="P13" s="59" t="n"/>
      <c r="Q13" s="60" t="n"/>
      <c r="R13" s="54" t="n"/>
      <c r="S13" s="55" t="n"/>
      <c r="T13" s="54" t="n"/>
      <c r="U13" s="55" t="n"/>
      <c r="V13" s="59" t="n"/>
      <c r="W13" s="60" t="n"/>
      <c r="X13" s="59" t="n"/>
      <c r="Y13" s="60" t="n"/>
      <c r="Z13" s="59" t="n"/>
      <c r="AA13" s="60" t="n"/>
      <c r="AB13" s="59" t="n"/>
      <c r="AC13" s="60" t="n"/>
      <c r="AD13" s="59" t="n"/>
      <c r="AE13" s="60" t="n"/>
      <c r="AF13" s="54" t="n"/>
      <c r="AG13" s="55" t="n"/>
      <c r="AH13" s="54" t="n"/>
      <c r="AI13" s="55" t="n"/>
      <c r="AJ13" s="59" t="n"/>
      <c r="AK13" s="60" t="n"/>
      <c r="AL13" s="59" t="n"/>
      <c r="AM13" s="60" t="n"/>
      <c r="AN13" s="59" t="n"/>
      <c r="AO13" s="60" t="n"/>
      <c r="AP13" s="59" t="n"/>
      <c r="AQ13" s="60" t="n"/>
      <c r="AR13" s="59" t="n"/>
      <c r="AS13" s="60" t="n"/>
      <c r="AT13" s="54" t="n"/>
      <c r="AU13" s="55" t="n"/>
      <c r="AV13" s="54" t="n"/>
      <c r="AW13" s="55" t="n"/>
      <c r="AX13" s="59" t="n"/>
      <c r="AY13" s="60" t="n"/>
      <c r="AZ13" s="59" t="n"/>
      <c r="BA13" s="60" t="n"/>
      <c r="BB13" s="59" t="n"/>
      <c r="BC13" s="60" t="n"/>
      <c r="BD13" s="59" t="n"/>
      <c r="BE13" s="60" t="n"/>
      <c r="BF13" s="59" t="n"/>
      <c r="BG13" s="60" t="n"/>
      <c r="BH13" s="54" t="n"/>
      <c r="BI13" s="55" t="n"/>
      <c r="BJ13" s="54" t="n"/>
      <c r="BK13" s="55" t="n"/>
      <c r="BL13" s="59" t="n"/>
      <c r="BM13" s="60" t="n"/>
      <c r="BN13" s="56">
        <f>IF($A13="","",COUNTIF(D13:BM13,"+"))</f>
        <v/>
      </c>
      <c r="BO13" s="57">
        <f>IF($A13="","",COUNTIF(D13:BM13,"x"))</f>
        <v/>
      </c>
      <c r="BP13" s="57">
        <f>IF($A13="","",COUNTIF(D13:BM13,"-"))</f>
        <v/>
      </c>
      <c r="BQ13" s="58">
        <f>IF($A13="","",BN13+BO13*0.5)</f>
        <v/>
      </c>
      <c r="BR13" s="58">
        <f>IF($A13="","",SUM(E13,G13,I13,K13,M13,O13,Q13,S13,U13,W13,Y13,AA13,AC13,AE13,AG13,AI13,AK13,AM13,AO13,AQ13,AS13,AU13,AW13,AY13,BA13,BC13,BE13,BG13,BI13,BK13,BM13))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4" t="n"/>
      <c r="E14" s="55" t="n"/>
      <c r="F14" s="54" t="n"/>
      <c r="G14" s="55" t="n"/>
      <c r="H14" s="52" t="n"/>
      <c r="I14" s="53" t="n"/>
      <c r="J14" s="52" t="n"/>
      <c r="K14" s="53" t="n"/>
      <c r="L14" s="52" t="n"/>
      <c r="M14" s="53" t="n"/>
      <c r="N14" s="52" t="n"/>
      <c r="O14" s="53" t="n"/>
      <c r="P14" s="52" t="n"/>
      <c r="Q14" s="53" t="n"/>
      <c r="R14" s="54" t="n"/>
      <c r="S14" s="55" t="n"/>
      <c r="T14" s="54" t="n"/>
      <c r="U14" s="55" t="n"/>
      <c r="V14" s="52" t="n"/>
      <c r="W14" s="53" t="n"/>
      <c r="X14" s="52" t="n"/>
      <c r="Y14" s="53" t="n"/>
      <c r="Z14" s="52" t="n"/>
      <c r="AA14" s="53" t="n"/>
      <c r="AB14" s="52" t="n"/>
      <c r="AC14" s="53" t="n"/>
      <c r="AD14" s="52" t="n"/>
      <c r="AE14" s="53" t="n"/>
      <c r="AF14" s="54" t="n"/>
      <c r="AG14" s="55" t="n"/>
      <c r="AH14" s="54" t="n"/>
      <c r="AI14" s="55" t="n"/>
      <c r="AJ14" s="52" t="n"/>
      <c r="AK14" s="53" t="n"/>
      <c r="AL14" s="52" t="n"/>
      <c r="AM14" s="53" t="n"/>
      <c r="AN14" s="52" t="n"/>
      <c r="AO14" s="53" t="n"/>
      <c r="AP14" s="52" t="n"/>
      <c r="AQ14" s="53" t="n"/>
      <c r="AR14" s="52" t="n"/>
      <c r="AS14" s="53" t="n"/>
      <c r="AT14" s="54" t="n"/>
      <c r="AU14" s="55" t="n"/>
      <c r="AV14" s="54" t="n"/>
      <c r="AW14" s="55" t="n"/>
      <c r="AX14" s="52" t="n"/>
      <c r="AY14" s="53" t="n"/>
      <c r="AZ14" s="52" t="n"/>
      <c r="BA14" s="53" t="n"/>
      <c r="BB14" s="52" t="n"/>
      <c r="BC14" s="53" t="n"/>
      <c r="BD14" s="52" t="n"/>
      <c r="BE14" s="53" t="n"/>
      <c r="BF14" s="52" t="n"/>
      <c r="BG14" s="53" t="n"/>
      <c r="BH14" s="54" t="n"/>
      <c r="BI14" s="55" t="n"/>
      <c r="BJ14" s="54" t="n"/>
      <c r="BK14" s="55" t="n"/>
      <c r="BL14" s="52" t="n"/>
      <c r="BM14" s="53" t="n"/>
      <c r="BN14" s="56">
        <f>IF($A14="","",COUNTIF(D14:BM14,"+"))</f>
        <v/>
      </c>
      <c r="BO14" s="57">
        <f>IF($A14="","",COUNTIF(D14:BM14,"x"))</f>
        <v/>
      </c>
      <c r="BP14" s="57">
        <f>IF($A14="","",COUNTIF(D14:BM14,"-"))</f>
        <v/>
      </c>
      <c r="BQ14" s="58">
        <f>IF($A14="","",BN14+BO14*0.5)</f>
        <v/>
      </c>
      <c r="BR14" s="58">
        <f>IF($A14="","",SUM(E14,G14,I14,K14,M14,O14,Q14,S14,U14,W14,Y14,AA14,AC14,AE14,AG14,AI14,AK14,AM14,AO14,AQ14,AS14,AU14,AW14,AY14,BA14,BC14,BE14,BG14,BI14,BK14,BM14))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4" t="n"/>
      <c r="E15" s="55" t="n"/>
      <c r="F15" s="54" t="n"/>
      <c r="G15" s="55" t="n"/>
      <c r="H15" s="59" t="n"/>
      <c r="I15" s="60" t="n"/>
      <c r="J15" s="59" t="n"/>
      <c r="K15" s="60" t="n"/>
      <c r="L15" s="59" t="n"/>
      <c r="M15" s="60" t="n"/>
      <c r="N15" s="59" t="n"/>
      <c r="O15" s="60" t="n"/>
      <c r="P15" s="59" t="n"/>
      <c r="Q15" s="60" t="n"/>
      <c r="R15" s="54" t="n"/>
      <c r="S15" s="55" t="n"/>
      <c r="T15" s="54" t="n"/>
      <c r="U15" s="55" t="n"/>
      <c r="V15" s="59" t="n"/>
      <c r="W15" s="60" t="n"/>
      <c r="X15" s="59" t="n"/>
      <c r="Y15" s="60" t="n"/>
      <c r="Z15" s="59" t="n"/>
      <c r="AA15" s="60" t="n"/>
      <c r="AB15" s="59" t="n"/>
      <c r="AC15" s="60" t="n"/>
      <c r="AD15" s="59" t="n"/>
      <c r="AE15" s="60" t="n"/>
      <c r="AF15" s="54" t="n"/>
      <c r="AG15" s="55" t="n"/>
      <c r="AH15" s="54" t="n"/>
      <c r="AI15" s="55" t="n"/>
      <c r="AJ15" s="59" t="n"/>
      <c r="AK15" s="60" t="n"/>
      <c r="AL15" s="59" t="n"/>
      <c r="AM15" s="60" t="n"/>
      <c r="AN15" s="59" t="n"/>
      <c r="AO15" s="60" t="n"/>
      <c r="AP15" s="59" t="n"/>
      <c r="AQ15" s="60" t="n"/>
      <c r="AR15" s="59" t="n"/>
      <c r="AS15" s="60" t="n"/>
      <c r="AT15" s="54" t="n"/>
      <c r="AU15" s="55" t="n"/>
      <c r="AV15" s="54" t="n"/>
      <c r="AW15" s="55" t="n"/>
      <c r="AX15" s="59" t="n"/>
      <c r="AY15" s="60" t="n"/>
      <c r="AZ15" s="59" t="n"/>
      <c r="BA15" s="60" t="n"/>
      <c r="BB15" s="59" t="n"/>
      <c r="BC15" s="60" t="n"/>
      <c r="BD15" s="59" t="n"/>
      <c r="BE15" s="60" t="n"/>
      <c r="BF15" s="59" t="n"/>
      <c r="BG15" s="60" t="n"/>
      <c r="BH15" s="54" t="n"/>
      <c r="BI15" s="55" t="n"/>
      <c r="BJ15" s="54" t="n"/>
      <c r="BK15" s="55" t="n"/>
      <c r="BL15" s="59" t="n"/>
      <c r="BM15" s="60" t="n"/>
      <c r="BN15" s="56">
        <f>IF($A15="","",COUNTIF(D15:BM15,"+"))</f>
        <v/>
      </c>
      <c r="BO15" s="57">
        <f>IF($A15="","",COUNTIF(D15:BM15,"x"))</f>
        <v/>
      </c>
      <c r="BP15" s="57">
        <f>IF($A15="","",COUNTIF(D15:BM15,"-"))</f>
        <v/>
      </c>
      <c r="BQ15" s="58">
        <f>IF($A15="","",BN15+BO15*0.5)</f>
        <v/>
      </c>
      <c r="BR15" s="58">
        <f>IF($A15="","",SUM(E15,G15,I15,K15,M15,O15,Q15,S15,U15,W15,Y15,AA15,AC15,AE15,AG15,AI15,AK15,AM15,AO15,AQ15,AS15,AU15,AW15,AY15,BA15,BC15,BE15,BG15,BI15,BK15,BM15))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4" t="n"/>
      <c r="E16" s="55" t="n"/>
      <c r="F16" s="54" t="n"/>
      <c r="G16" s="55" t="n"/>
      <c r="H16" s="52" t="n"/>
      <c r="I16" s="53" t="n"/>
      <c r="J16" s="52" t="n"/>
      <c r="K16" s="53" t="n"/>
      <c r="L16" s="52" t="n"/>
      <c r="M16" s="53" t="n"/>
      <c r="N16" s="52" t="n"/>
      <c r="O16" s="53" t="n"/>
      <c r="P16" s="52" t="n"/>
      <c r="Q16" s="53" t="n"/>
      <c r="R16" s="54" t="n"/>
      <c r="S16" s="55" t="n"/>
      <c r="T16" s="54" t="n"/>
      <c r="U16" s="55" t="n"/>
      <c r="V16" s="52" t="n"/>
      <c r="W16" s="53" t="n"/>
      <c r="X16" s="52" t="n"/>
      <c r="Y16" s="53" t="n"/>
      <c r="Z16" s="52" t="n"/>
      <c r="AA16" s="53" t="n"/>
      <c r="AB16" s="52" t="n"/>
      <c r="AC16" s="53" t="n"/>
      <c r="AD16" s="52" t="n"/>
      <c r="AE16" s="53" t="n"/>
      <c r="AF16" s="54" t="n"/>
      <c r="AG16" s="55" t="n"/>
      <c r="AH16" s="54" t="n"/>
      <c r="AI16" s="55" t="n"/>
      <c r="AJ16" s="52" t="n"/>
      <c r="AK16" s="53" t="n"/>
      <c r="AL16" s="52" t="n"/>
      <c r="AM16" s="53" t="n"/>
      <c r="AN16" s="52" t="n"/>
      <c r="AO16" s="53" t="n"/>
      <c r="AP16" s="52" t="n"/>
      <c r="AQ16" s="53" t="n"/>
      <c r="AR16" s="52" t="n"/>
      <c r="AS16" s="53" t="n"/>
      <c r="AT16" s="54" t="n"/>
      <c r="AU16" s="55" t="n"/>
      <c r="AV16" s="54" t="n"/>
      <c r="AW16" s="55" t="n"/>
      <c r="AX16" s="52" t="n"/>
      <c r="AY16" s="53" t="n"/>
      <c r="AZ16" s="52" t="n"/>
      <c r="BA16" s="53" t="n"/>
      <c r="BB16" s="52" t="n"/>
      <c r="BC16" s="53" t="n"/>
      <c r="BD16" s="52" t="n"/>
      <c r="BE16" s="53" t="n"/>
      <c r="BF16" s="52" t="n"/>
      <c r="BG16" s="53" t="n"/>
      <c r="BH16" s="54" t="n"/>
      <c r="BI16" s="55" t="n"/>
      <c r="BJ16" s="54" t="n"/>
      <c r="BK16" s="55" t="n"/>
      <c r="BL16" s="52" t="n"/>
      <c r="BM16" s="53" t="n"/>
      <c r="BN16" s="56">
        <f>IF($A16="","",COUNTIF(D16:BM16,"+"))</f>
        <v/>
      </c>
      <c r="BO16" s="57">
        <f>IF($A16="","",COUNTIF(D16:BM16,"x"))</f>
        <v/>
      </c>
      <c r="BP16" s="57">
        <f>IF($A16="","",COUNTIF(D16:BM16,"-"))</f>
        <v/>
      </c>
      <c r="BQ16" s="58">
        <f>IF($A16="","",BN16+BO16*0.5)</f>
        <v/>
      </c>
      <c r="BR16" s="58">
        <f>IF($A16="","",SUM(E16,G16,I16,K16,M16,O16,Q16,S16,U16,W16,Y16,AA16,AC16,AE16,AG16,AI16,AK16,AM16,AO16,AQ16,AS16,AU16,AW16,AY16,BA16,BC16,BE16,BG16,BI16,BK16,BM16))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4" t="n"/>
      <c r="E17" s="55" t="n"/>
      <c r="F17" s="54" t="n"/>
      <c r="G17" s="55" t="n"/>
      <c r="H17" s="59" t="n"/>
      <c r="I17" s="60" t="n"/>
      <c r="J17" s="59" t="n"/>
      <c r="K17" s="60" t="n"/>
      <c r="L17" s="59" t="n"/>
      <c r="M17" s="60" t="n"/>
      <c r="N17" s="59" t="n"/>
      <c r="O17" s="60" t="n"/>
      <c r="P17" s="59" t="n"/>
      <c r="Q17" s="60" t="n"/>
      <c r="R17" s="54" t="n"/>
      <c r="S17" s="55" t="n"/>
      <c r="T17" s="54" t="n"/>
      <c r="U17" s="55" t="n"/>
      <c r="V17" s="59" t="n"/>
      <c r="W17" s="60" t="n"/>
      <c r="X17" s="59" t="n"/>
      <c r="Y17" s="60" t="n"/>
      <c r="Z17" s="59" t="n"/>
      <c r="AA17" s="60" t="n"/>
      <c r="AB17" s="59" t="n"/>
      <c r="AC17" s="60" t="n"/>
      <c r="AD17" s="59" t="n"/>
      <c r="AE17" s="60" t="n"/>
      <c r="AF17" s="54" t="n"/>
      <c r="AG17" s="55" t="n"/>
      <c r="AH17" s="54" t="n"/>
      <c r="AI17" s="55" t="n"/>
      <c r="AJ17" s="59" t="n"/>
      <c r="AK17" s="60" t="n"/>
      <c r="AL17" s="59" t="n"/>
      <c r="AM17" s="60" t="n"/>
      <c r="AN17" s="59" t="n"/>
      <c r="AO17" s="60" t="n"/>
      <c r="AP17" s="59" t="n"/>
      <c r="AQ17" s="60" t="n"/>
      <c r="AR17" s="59" t="n"/>
      <c r="AS17" s="60" t="n"/>
      <c r="AT17" s="54" t="n"/>
      <c r="AU17" s="55" t="n"/>
      <c r="AV17" s="54" t="n"/>
      <c r="AW17" s="55" t="n"/>
      <c r="AX17" s="59" t="n"/>
      <c r="AY17" s="60" t="n"/>
      <c r="AZ17" s="59" t="n"/>
      <c r="BA17" s="60" t="n"/>
      <c r="BB17" s="59" t="n"/>
      <c r="BC17" s="60" t="n"/>
      <c r="BD17" s="59" t="n"/>
      <c r="BE17" s="60" t="n"/>
      <c r="BF17" s="59" t="n"/>
      <c r="BG17" s="60" t="n"/>
      <c r="BH17" s="54" t="n"/>
      <c r="BI17" s="55" t="n"/>
      <c r="BJ17" s="54" t="n"/>
      <c r="BK17" s="55" t="n"/>
      <c r="BL17" s="59" t="n"/>
      <c r="BM17" s="60" t="n"/>
      <c r="BN17" s="56">
        <f>IF($A17="","",COUNTIF(D17:BM17,"+"))</f>
        <v/>
      </c>
      <c r="BO17" s="57">
        <f>IF($A17="","",COUNTIF(D17:BM17,"x"))</f>
        <v/>
      </c>
      <c r="BP17" s="57">
        <f>IF($A17="","",COUNTIF(D17:BM17,"-"))</f>
        <v/>
      </c>
      <c r="BQ17" s="58">
        <f>IF($A17="","",BN17+BO17*0.5)</f>
        <v/>
      </c>
      <c r="BR17" s="58">
        <f>IF($A17="","",SUM(E17,G17,I17,K17,M17,O17,Q17,S17,U17,W17,Y17,AA17,AC17,AE17,AG17,AI17,AK17,AM17,AO17,AQ17,AS17,AU17,AW17,AY17,BA17,BC17,BE17,BG17,BI17,BK17,BM17))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4" t="n"/>
      <c r="E18" s="55" t="n"/>
      <c r="F18" s="54" t="n"/>
      <c r="G18" s="55" t="n"/>
      <c r="H18" s="52" t="n"/>
      <c r="I18" s="53" t="n"/>
      <c r="J18" s="52" t="n"/>
      <c r="K18" s="53" t="n"/>
      <c r="L18" s="52" t="n"/>
      <c r="M18" s="53" t="n"/>
      <c r="N18" s="52" t="n"/>
      <c r="O18" s="53" t="n"/>
      <c r="P18" s="52" t="n"/>
      <c r="Q18" s="53" t="n"/>
      <c r="R18" s="54" t="n"/>
      <c r="S18" s="55" t="n"/>
      <c r="T18" s="54" t="n"/>
      <c r="U18" s="55" t="n"/>
      <c r="V18" s="52" t="n"/>
      <c r="W18" s="53" t="n"/>
      <c r="X18" s="52" t="n"/>
      <c r="Y18" s="53" t="n"/>
      <c r="Z18" s="52" t="n"/>
      <c r="AA18" s="53" t="n"/>
      <c r="AB18" s="52" t="n"/>
      <c r="AC18" s="53" t="n"/>
      <c r="AD18" s="52" t="n"/>
      <c r="AE18" s="53" t="n"/>
      <c r="AF18" s="54" t="n"/>
      <c r="AG18" s="55" t="n"/>
      <c r="AH18" s="54" t="n"/>
      <c r="AI18" s="55" t="n"/>
      <c r="AJ18" s="52" t="n"/>
      <c r="AK18" s="53" t="n"/>
      <c r="AL18" s="52" t="n"/>
      <c r="AM18" s="53" t="n"/>
      <c r="AN18" s="52" t="n"/>
      <c r="AO18" s="53" t="n"/>
      <c r="AP18" s="52" t="n"/>
      <c r="AQ18" s="53" t="n"/>
      <c r="AR18" s="52" t="n"/>
      <c r="AS18" s="53" t="n"/>
      <c r="AT18" s="54" t="n"/>
      <c r="AU18" s="55" t="n"/>
      <c r="AV18" s="54" t="n"/>
      <c r="AW18" s="55" t="n"/>
      <c r="AX18" s="52" t="n"/>
      <c r="AY18" s="53" t="n"/>
      <c r="AZ18" s="52" t="n"/>
      <c r="BA18" s="53" t="n"/>
      <c r="BB18" s="52" t="n"/>
      <c r="BC18" s="53" t="n"/>
      <c r="BD18" s="52" t="n"/>
      <c r="BE18" s="53" t="n"/>
      <c r="BF18" s="52" t="n"/>
      <c r="BG18" s="53" t="n"/>
      <c r="BH18" s="54" t="n"/>
      <c r="BI18" s="55" t="n"/>
      <c r="BJ18" s="54" t="n"/>
      <c r="BK18" s="55" t="n"/>
      <c r="BL18" s="52" t="n"/>
      <c r="BM18" s="53" t="n"/>
      <c r="BN18" s="56">
        <f>IF($A18="","",COUNTIF(D18:BM18,"+"))</f>
        <v/>
      </c>
      <c r="BO18" s="57">
        <f>IF($A18="","",COUNTIF(D18:BM18,"x"))</f>
        <v/>
      </c>
      <c r="BP18" s="57">
        <f>IF($A18="","",COUNTIF(D18:BM18,"-"))</f>
        <v/>
      </c>
      <c r="BQ18" s="58">
        <f>IF($A18="","",BN18+BO18*0.5)</f>
        <v/>
      </c>
      <c r="BR18" s="58">
        <f>IF($A18="","",SUM(E18,G18,I18,K18,M18,O18,Q18,S18,U18,W18,Y18,AA18,AC18,AE18,AG18,AI18,AK18,AM18,AO18,AQ18,AS18,AU18,AW18,AY18,BA18,BC18,BE18,BG18,BI18,BK18,BM18))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4" t="n"/>
      <c r="E19" s="55" t="n"/>
      <c r="F19" s="54" t="n"/>
      <c r="G19" s="55" t="n"/>
      <c r="H19" s="59" t="n"/>
      <c r="I19" s="60" t="n"/>
      <c r="J19" s="59" t="n"/>
      <c r="K19" s="60" t="n"/>
      <c r="L19" s="59" t="n"/>
      <c r="M19" s="60" t="n"/>
      <c r="N19" s="59" t="n"/>
      <c r="O19" s="60" t="n"/>
      <c r="P19" s="59" t="n"/>
      <c r="Q19" s="60" t="n"/>
      <c r="R19" s="54" t="n"/>
      <c r="S19" s="55" t="n"/>
      <c r="T19" s="54" t="n"/>
      <c r="U19" s="55" t="n"/>
      <c r="V19" s="59" t="n"/>
      <c r="W19" s="60" t="n"/>
      <c r="X19" s="59" t="n"/>
      <c r="Y19" s="60" t="n"/>
      <c r="Z19" s="59" t="n"/>
      <c r="AA19" s="60" t="n"/>
      <c r="AB19" s="59" t="n"/>
      <c r="AC19" s="60" t="n"/>
      <c r="AD19" s="59" t="n"/>
      <c r="AE19" s="60" t="n"/>
      <c r="AF19" s="54" t="n"/>
      <c r="AG19" s="55" t="n"/>
      <c r="AH19" s="54" t="n"/>
      <c r="AI19" s="55" t="n"/>
      <c r="AJ19" s="59" t="n"/>
      <c r="AK19" s="60" t="n"/>
      <c r="AL19" s="59" t="n"/>
      <c r="AM19" s="60" t="n"/>
      <c r="AN19" s="59" t="n"/>
      <c r="AO19" s="60" t="n"/>
      <c r="AP19" s="59" t="n"/>
      <c r="AQ19" s="60" t="n"/>
      <c r="AR19" s="59" t="n"/>
      <c r="AS19" s="60" t="n"/>
      <c r="AT19" s="54" t="n"/>
      <c r="AU19" s="55" t="n"/>
      <c r="AV19" s="54" t="n"/>
      <c r="AW19" s="55" t="n"/>
      <c r="AX19" s="59" t="n"/>
      <c r="AY19" s="60" t="n"/>
      <c r="AZ19" s="59" t="n"/>
      <c r="BA19" s="60" t="n"/>
      <c r="BB19" s="59" t="n"/>
      <c r="BC19" s="60" t="n"/>
      <c r="BD19" s="59" t="n"/>
      <c r="BE19" s="60" t="n"/>
      <c r="BF19" s="59" t="n"/>
      <c r="BG19" s="60" t="n"/>
      <c r="BH19" s="54" t="n"/>
      <c r="BI19" s="55" t="n"/>
      <c r="BJ19" s="54" t="n"/>
      <c r="BK19" s="55" t="n"/>
      <c r="BL19" s="59" t="n"/>
      <c r="BM19" s="60" t="n"/>
      <c r="BN19" s="56">
        <f>IF($A19="","",COUNTIF(D19:BM19,"+"))</f>
        <v/>
      </c>
      <c r="BO19" s="57">
        <f>IF($A19="","",COUNTIF(D19:BM19,"x"))</f>
        <v/>
      </c>
      <c r="BP19" s="57">
        <f>IF($A19="","",COUNTIF(D19:BM19,"-"))</f>
        <v/>
      </c>
      <c r="BQ19" s="58">
        <f>IF($A19="","",BN19+BO19*0.5)</f>
        <v/>
      </c>
      <c r="BR19" s="58">
        <f>IF($A19="","",SUM(E19,G19,I19,K19,M19,O19,Q19,S19,U19,W19,Y19,AA19,AC19,AE19,AG19,AI19,AK19,AM19,AO19,AQ19,AS19,AU19,AW19,AY19,BA19,BC19,BE19,BG19,BI19,BK19,BM19))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4" t="n"/>
      <c r="E20" s="55" t="n"/>
      <c r="F20" s="54" t="n"/>
      <c r="G20" s="55" t="n"/>
      <c r="H20" s="52" t="n"/>
      <c r="I20" s="53" t="n"/>
      <c r="J20" s="52" t="n"/>
      <c r="K20" s="53" t="n"/>
      <c r="L20" s="52" t="n"/>
      <c r="M20" s="53" t="n"/>
      <c r="N20" s="52" t="n"/>
      <c r="O20" s="53" t="n"/>
      <c r="P20" s="52" t="n"/>
      <c r="Q20" s="53" t="n"/>
      <c r="R20" s="54" t="n"/>
      <c r="S20" s="55" t="n"/>
      <c r="T20" s="54" t="n"/>
      <c r="U20" s="55" t="n"/>
      <c r="V20" s="52" t="n"/>
      <c r="W20" s="53" t="n"/>
      <c r="X20" s="52" t="n"/>
      <c r="Y20" s="53" t="n"/>
      <c r="Z20" s="52" t="n"/>
      <c r="AA20" s="53" t="n"/>
      <c r="AB20" s="52" t="n"/>
      <c r="AC20" s="53" t="n"/>
      <c r="AD20" s="52" t="n"/>
      <c r="AE20" s="53" t="n"/>
      <c r="AF20" s="54" t="n"/>
      <c r="AG20" s="55" t="n"/>
      <c r="AH20" s="54" t="n"/>
      <c r="AI20" s="55" t="n"/>
      <c r="AJ20" s="52" t="n"/>
      <c r="AK20" s="53" t="n"/>
      <c r="AL20" s="52" t="n"/>
      <c r="AM20" s="53" t="n"/>
      <c r="AN20" s="52" t="n"/>
      <c r="AO20" s="53" t="n"/>
      <c r="AP20" s="52" t="n"/>
      <c r="AQ20" s="53" t="n"/>
      <c r="AR20" s="52" t="n"/>
      <c r="AS20" s="53" t="n"/>
      <c r="AT20" s="54" t="n"/>
      <c r="AU20" s="55" t="n"/>
      <c r="AV20" s="54" t="n"/>
      <c r="AW20" s="55" t="n"/>
      <c r="AX20" s="52" t="n"/>
      <c r="AY20" s="53" t="n"/>
      <c r="AZ20" s="52" t="n"/>
      <c r="BA20" s="53" t="n"/>
      <c r="BB20" s="52" t="n"/>
      <c r="BC20" s="53" t="n"/>
      <c r="BD20" s="52" t="n"/>
      <c r="BE20" s="53" t="n"/>
      <c r="BF20" s="52" t="n"/>
      <c r="BG20" s="53" t="n"/>
      <c r="BH20" s="54" t="n"/>
      <c r="BI20" s="55" t="n"/>
      <c r="BJ20" s="54" t="n"/>
      <c r="BK20" s="55" t="n"/>
      <c r="BL20" s="52" t="n"/>
      <c r="BM20" s="53" t="n"/>
      <c r="BN20" s="56">
        <f>IF($A20="","",COUNTIF(D20:BM20,"+"))</f>
        <v/>
      </c>
      <c r="BO20" s="57">
        <f>IF($A20="","",COUNTIF(D20:BM20,"x"))</f>
        <v/>
      </c>
      <c r="BP20" s="57">
        <f>IF($A20="","",COUNTIF(D20:BM20,"-"))</f>
        <v/>
      </c>
      <c r="BQ20" s="58">
        <f>IF($A20="","",BN20+BO20*0.5)</f>
        <v/>
      </c>
      <c r="BR20" s="58">
        <f>IF($A20="","",SUM(E20,G20,I20,K20,M20,O20,Q20,S20,U20,W20,Y20,AA20,AC20,AE20,AG20,AI20,AK20,AM20,AO20,AQ20,AS20,AU20,AW20,AY20,BA20,BC20,BE20,BG20,BI20,BK20,BM20))</f>
        <v/>
      </c>
    </row>
  </sheetData>
  <mergeCells count="44">
    <mergeCell ref="F4:G4"/>
    <mergeCell ref="P4:Q4"/>
    <mergeCell ref="AX4:AY4"/>
    <mergeCell ref="BH4:BI4"/>
    <mergeCell ref="C4:C5"/>
    <mergeCell ref="BJ4:BK4"/>
    <mergeCell ref="BP4:BP5"/>
    <mergeCell ref="H4:I4"/>
    <mergeCell ref="BQ4:BQ5"/>
    <mergeCell ref="R4:S4"/>
    <mergeCell ref="A2:C2"/>
    <mergeCell ref="AB4:AC4"/>
    <mergeCell ref="T4:U4"/>
    <mergeCell ref="AF4:AG4"/>
    <mergeCell ref="V4:W4"/>
    <mergeCell ref="AH4:AI4"/>
    <mergeCell ref="AN4:AO4"/>
    <mergeCell ref="BN4:BN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R4:BR5"/>
    <mergeCell ref="D4:E4"/>
    <mergeCell ref="N2:Q2"/>
    <mergeCell ref="D2:G2"/>
    <mergeCell ref="BO4:BO5"/>
    <mergeCell ref="X4:Y4"/>
    <mergeCell ref="AJ4:AK4"/>
    <mergeCell ref="Z4:AA4"/>
    <mergeCell ref="B4:B5"/>
    <mergeCell ref="AL4:AM4"/>
    <mergeCell ref="A1:BR1"/>
    <mergeCell ref="AD4:AE4"/>
    <mergeCell ref="AP4:AQ4"/>
    <mergeCell ref="N4:O4"/>
  </mergeCells>
  <conditionalFormatting sqref="D6:BM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 BL6:BL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 BM6:BM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P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9" customWidth="1" min="64" max="64"/>
    <col width="9" customWidth="1" min="65" max="65"/>
    <col width="9" customWidth="1" min="66" max="66"/>
    <col width="11" customWidth="1" min="67" max="67"/>
    <col width="11" customWidth="1" min="68" max="68"/>
  </cols>
  <sheetData>
    <row r="1" ht="32" customHeight="1">
      <c r="A1" s="1" t="inlineStr">
        <is>
          <t>EYLÜL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20" customHeight="1">
      <c r="A2" s="25" t="inlineStr">
        <is>
          <t>Takvim gün sayısı: 30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Sal</t>
        </is>
      </c>
      <c r="E4" s="23" t="n"/>
      <c r="F4" s="23" t="inlineStr">
        <is>
          <t>2
Çar</t>
        </is>
      </c>
      <c r="G4" s="23" t="n"/>
      <c r="H4" s="23" t="inlineStr">
        <is>
          <t>3
Per</t>
        </is>
      </c>
      <c r="I4" s="23" t="n"/>
      <c r="J4" s="23" t="inlineStr">
        <is>
          <t>4
Cum</t>
        </is>
      </c>
      <c r="K4" s="23" t="n"/>
      <c r="L4" s="49" t="inlineStr">
        <is>
          <t>5
Cmt</t>
        </is>
      </c>
      <c r="M4" s="49" t="n"/>
      <c r="N4" s="49" t="inlineStr">
        <is>
          <t>6
Paz</t>
        </is>
      </c>
      <c r="O4" s="49" t="n"/>
      <c r="P4" s="23" t="inlineStr">
        <is>
          <t>7
Pzt</t>
        </is>
      </c>
      <c r="Q4" s="23" t="n"/>
      <c r="R4" s="23" t="inlineStr">
        <is>
          <t>8
Sal</t>
        </is>
      </c>
      <c r="S4" s="23" t="n"/>
      <c r="T4" s="23" t="inlineStr">
        <is>
          <t>9
Çar</t>
        </is>
      </c>
      <c r="U4" s="23" t="n"/>
      <c r="V4" s="23" t="inlineStr">
        <is>
          <t>10
Per</t>
        </is>
      </c>
      <c r="W4" s="23" t="n"/>
      <c r="X4" s="23" t="inlineStr">
        <is>
          <t>11
Cum</t>
        </is>
      </c>
      <c r="Y4" s="23" t="n"/>
      <c r="Z4" s="49" t="inlineStr">
        <is>
          <t>12
Cmt</t>
        </is>
      </c>
      <c r="AA4" s="49" t="n"/>
      <c r="AB4" s="49" t="inlineStr">
        <is>
          <t>13
Paz</t>
        </is>
      </c>
      <c r="AC4" s="49" t="n"/>
      <c r="AD4" s="23" t="inlineStr">
        <is>
          <t>14
Pzt</t>
        </is>
      </c>
      <c r="AE4" s="23" t="n"/>
      <c r="AF4" s="23" t="inlineStr">
        <is>
          <t>15
Sal</t>
        </is>
      </c>
      <c r="AG4" s="23" t="n"/>
      <c r="AH4" s="23" t="inlineStr">
        <is>
          <t>16
Çar</t>
        </is>
      </c>
      <c r="AI4" s="23" t="n"/>
      <c r="AJ4" s="23" t="inlineStr">
        <is>
          <t>17
Per</t>
        </is>
      </c>
      <c r="AK4" s="23" t="n"/>
      <c r="AL4" s="23" t="inlineStr">
        <is>
          <t>18
Cum</t>
        </is>
      </c>
      <c r="AM4" s="23" t="n"/>
      <c r="AN4" s="49" t="inlineStr">
        <is>
          <t>19
Cmt</t>
        </is>
      </c>
      <c r="AO4" s="49" t="n"/>
      <c r="AP4" s="49" t="inlineStr">
        <is>
          <t>20
Paz</t>
        </is>
      </c>
      <c r="AQ4" s="49" t="n"/>
      <c r="AR4" s="23" t="inlineStr">
        <is>
          <t>21
Pzt</t>
        </is>
      </c>
      <c r="AS4" s="23" t="n"/>
      <c r="AT4" s="23" t="inlineStr">
        <is>
          <t>22
Sal</t>
        </is>
      </c>
      <c r="AU4" s="23" t="n"/>
      <c r="AV4" s="23" t="inlineStr">
        <is>
          <t>23
Çar</t>
        </is>
      </c>
      <c r="AW4" s="23" t="n"/>
      <c r="AX4" s="23" t="inlineStr">
        <is>
          <t>24
Per</t>
        </is>
      </c>
      <c r="AY4" s="23" t="n"/>
      <c r="AZ4" s="23" t="inlineStr">
        <is>
          <t>25
Cum</t>
        </is>
      </c>
      <c r="BA4" s="23" t="n"/>
      <c r="BB4" s="49" t="inlineStr">
        <is>
          <t>26
Cmt</t>
        </is>
      </c>
      <c r="BC4" s="49" t="n"/>
      <c r="BD4" s="49" t="inlineStr">
        <is>
          <t>27
Paz</t>
        </is>
      </c>
      <c r="BE4" s="49" t="n"/>
      <c r="BF4" s="23" t="inlineStr">
        <is>
          <t>28
Pzt</t>
        </is>
      </c>
      <c r="BG4" s="23" t="n"/>
      <c r="BH4" s="23" t="inlineStr">
        <is>
          <t>29
Sal</t>
        </is>
      </c>
      <c r="BI4" s="23" t="n"/>
      <c r="BJ4" s="23" t="inlineStr">
        <is>
          <t>30
Çar</t>
        </is>
      </c>
      <c r="BK4" s="23" t="n"/>
      <c r="BL4" s="50" t="inlineStr">
        <is>
          <t>Tam Gün
(+)</t>
        </is>
      </c>
      <c r="BM4" s="10" t="inlineStr">
        <is>
          <t>Yarım Gün
(x)</t>
        </is>
      </c>
      <c r="BN4" s="10" t="inlineStr">
        <is>
          <t>Gelmediği
Gün (-)</t>
        </is>
      </c>
      <c r="BO4" s="10" t="inlineStr">
        <is>
          <t>Fiili
Çalışılan Gün</t>
        </is>
      </c>
      <c r="BP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0" t="n"/>
      <c r="BM5" s="10" t="n"/>
      <c r="BN5" s="10" t="n"/>
      <c r="BO5" s="10" t="n"/>
      <c r="BP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n"/>
      <c r="E6" s="53" t="n"/>
      <c r="F6" s="52" t="n"/>
      <c r="G6" s="53" t="n"/>
      <c r="H6" s="52" t="n"/>
      <c r="I6" s="53" t="n"/>
      <c r="J6" s="52" t="n"/>
      <c r="K6" s="53" t="n"/>
      <c r="L6" s="54" t="n"/>
      <c r="M6" s="55" t="n"/>
      <c r="N6" s="54" t="n"/>
      <c r="O6" s="55" t="n"/>
      <c r="P6" s="52" t="n"/>
      <c r="Q6" s="53" t="n"/>
      <c r="R6" s="52" t="n"/>
      <c r="S6" s="53" t="n"/>
      <c r="T6" s="52" t="n"/>
      <c r="U6" s="53" t="n"/>
      <c r="V6" s="52" t="n"/>
      <c r="W6" s="53" t="n"/>
      <c r="X6" s="52" t="n"/>
      <c r="Y6" s="53" t="n"/>
      <c r="Z6" s="54" t="n"/>
      <c r="AA6" s="55" t="n"/>
      <c r="AB6" s="54" t="n"/>
      <c r="AC6" s="55" t="n"/>
      <c r="AD6" s="52" t="n"/>
      <c r="AE6" s="53" t="n"/>
      <c r="AF6" s="52" t="n"/>
      <c r="AG6" s="53" t="n"/>
      <c r="AH6" s="52" t="n"/>
      <c r="AI6" s="53" t="n"/>
      <c r="AJ6" s="52" t="n"/>
      <c r="AK6" s="53" t="n"/>
      <c r="AL6" s="52" t="n"/>
      <c r="AM6" s="53" t="n"/>
      <c r="AN6" s="54" t="n"/>
      <c r="AO6" s="55" t="n"/>
      <c r="AP6" s="54" t="n"/>
      <c r="AQ6" s="55" t="n"/>
      <c r="AR6" s="52" t="n"/>
      <c r="AS6" s="53" t="n"/>
      <c r="AT6" s="52" t="n"/>
      <c r="AU6" s="53" t="n"/>
      <c r="AV6" s="52" t="n"/>
      <c r="AW6" s="53" t="n"/>
      <c r="AX6" s="52" t="n"/>
      <c r="AY6" s="53" t="n"/>
      <c r="AZ6" s="52" t="n"/>
      <c r="BA6" s="53" t="n"/>
      <c r="BB6" s="54" t="n"/>
      <c r="BC6" s="55" t="n"/>
      <c r="BD6" s="54" t="n"/>
      <c r="BE6" s="55" t="n"/>
      <c r="BF6" s="52" t="n"/>
      <c r="BG6" s="53" t="n"/>
      <c r="BH6" s="52" t="n"/>
      <c r="BI6" s="53" t="n"/>
      <c r="BJ6" s="52" t="n"/>
      <c r="BK6" s="53" t="n"/>
      <c r="BL6" s="56">
        <f>IF($A6="","",COUNTIF(D6:BK6,"+"))</f>
        <v/>
      </c>
      <c r="BM6" s="57">
        <f>IF($A6="","",COUNTIF(D6:BK6,"x"))</f>
        <v/>
      </c>
      <c r="BN6" s="57">
        <f>IF($A6="","",COUNTIF(D6:BK6,"-"))</f>
        <v/>
      </c>
      <c r="BO6" s="58">
        <f>IF($A6="","",BL6+BM6*0.5)</f>
        <v/>
      </c>
      <c r="BP6" s="58">
        <f>IF($A6="","",SUM(E6,G6,I6,K6,M6,O6,Q6,S6,U6,W6,Y6,AA6,AC6,AE6,AG6,AI6,AK6,AM6,AO6,AQ6,AS6,AU6,AW6,AY6,BA6,BC6,BE6,BG6,BI6,BK6))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n"/>
      <c r="E7" s="60" t="n"/>
      <c r="F7" s="59" t="n"/>
      <c r="G7" s="60" t="n"/>
      <c r="H7" s="59" t="n"/>
      <c r="I7" s="60" t="n"/>
      <c r="J7" s="59" t="n"/>
      <c r="K7" s="60" t="n"/>
      <c r="L7" s="54" t="n"/>
      <c r="M7" s="55" t="n"/>
      <c r="N7" s="54" t="n"/>
      <c r="O7" s="55" t="n"/>
      <c r="P7" s="59" t="n"/>
      <c r="Q7" s="60" t="n"/>
      <c r="R7" s="59" t="n"/>
      <c r="S7" s="60" t="n"/>
      <c r="T7" s="59" t="n"/>
      <c r="U7" s="60" t="n"/>
      <c r="V7" s="59" t="n"/>
      <c r="W7" s="60" t="n"/>
      <c r="X7" s="59" t="n"/>
      <c r="Y7" s="60" t="n"/>
      <c r="Z7" s="54" t="n"/>
      <c r="AA7" s="55" t="n"/>
      <c r="AB7" s="54" t="n"/>
      <c r="AC7" s="55" t="n"/>
      <c r="AD7" s="59" t="n"/>
      <c r="AE7" s="60" t="n"/>
      <c r="AF7" s="59" t="n"/>
      <c r="AG7" s="60" t="n"/>
      <c r="AH7" s="59" t="n"/>
      <c r="AI7" s="60" t="n"/>
      <c r="AJ7" s="59" t="n"/>
      <c r="AK7" s="60" t="n"/>
      <c r="AL7" s="59" t="n"/>
      <c r="AM7" s="60" t="n"/>
      <c r="AN7" s="54" t="n"/>
      <c r="AO7" s="55" t="n"/>
      <c r="AP7" s="54" t="n"/>
      <c r="AQ7" s="55" t="n"/>
      <c r="AR7" s="59" t="n"/>
      <c r="AS7" s="60" t="n"/>
      <c r="AT7" s="59" t="n"/>
      <c r="AU7" s="60" t="n"/>
      <c r="AV7" s="59" t="n"/>
      <c r="AW7" s="60" t="n"/>
      <c r="AX7" s="59" t="n"/>
      <c r="AY7" s="60" t="n"/>
      <c r="AZ7" s="59" t="n"/>
      <c r="BA7" s="60" t="n"/>
      <c r="BB7" s="54" t="n"/>
      <c r="BC7" s="55" t="n"/>
      <c r="BD7" s="54" t="n"/>
      <c r="BE7" s="55" t="n"/>
      <c r="BF7" s="59" t="n"/>
      <c r="BG7" s="60" t="n"/>
      <c r="BH7" s="59" t="n"/>
      <c r="BI7" s="60" t="n"/>
      <c r="BJ7" s="59" t="n"/>
      <c r="BK7" s="60" t="n"/>
      <c r="BL7" s="56">
        <f>IF($A7="","",COUNTIF(D7:BK7,"+"))</f>
        <v/>
      </c>
      <c r="BM7" s="57">
        <f>IF($A7="","",COUNTIF(D7:BK7,"x"))</f>
        <v/>
      </c>
      <c r="BN7" s="57">
        <f>IF($A7="","",COUNTIF(D7:BK7,"-"))</f>
        <v/>
      </c>
      <c r="BO7" s="58">
        <f>IF($A7="","",BL7+BM7*0.5)</f>
        <v/>
      </c>
      <c r="BP7" s="58">
        <f>IF($A7="","",SUM(E7,G7,I7,K7,M7,O7,Q7,S7,U7,W7,Y7,AA7,AC7,AE7,AG7,AI7,AK7,AM7,AO7,AQ7,AS7,AU7,AW7,AY7,BA7,BC7,BE7,BG7,BI7,BK7))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n"/>
      <c r="E8" s="53" t="n"/>
      <c r="F8" s="52" t="n"/>
      <c r="G8" s="53" t="n"/>
      <c r="H8" s="52" t="n"/>
      <c r="I8" s="53" t="n"/>
      <c r="J8" s="52" t="n"/>
      <c r="K8" s="53" t="n"/>
      <c r="L8" s="54" t="n"/>
      <c r="M8" s="55" t="n"/>
      <c r="N8" s="54" t="n"/>
      <c r="O8" s="55" t="n"/>
      <c r="P8" s="52" t="n"/>
      <c r="Q8" s="53" t="n"/>
      <c r="R8" s="52" t="n"/>
      <c r="S8" s="53" t="n"/>
      <c r="T8" s="52" t="n"/>
      <c r="U8" s="53" t="n"/>
      <c r="V8" s="52" t="n"/>
      <c r="W8" s="53" t="n"/>
      <c r="X8" s="52" t="n"/>
      <c r="Y8" s="53" t="n"/>
      <c r="Z8" s="54" t="n"/>
      <c r="AA8" s="55" t="n"/>
      <c r="AB8" s="54" t="n"/>
      <c r="AC8" s="55" t="n"/>
      <c r="AD8" s="52" t="n"/>
      <c r="AE8" s="53" t="n"/>
      <c r="AF8" s="52" t="n"/>
      <c r="AG8" s="53" t="n"/>
      <c r="AH8" s="52" t="n"/>
      <c r="AI8" s="53" t="n"/>
      <c r="AJ8" s="52" t="n"/>
      <c r="AK8" s="53" t="n"/>
      <c r="AL8" s="52" t="n"/>
      <c r="AM8" s="53" t="n"/>
      <c r="AN8" s="54" t="n"/>
      <c r="AO8" s="55" t="n"/>
      <c r="AP8" s="54" t="n"/>
      <c r="AQ8" s="55" t="n"/>
      <c r="AR8" s="52" t="n"/>
      <c r="AS8" s="53" t="n"/>
      <c r="AT8" s="52" t="n"/>
      <c r="AU8" s="53" t="n"/>
      <c r="AV8" s="52" t="n"/>
      <c r="AW8" s="53" t="n"/>
      <c r="AX8" s="52" t="n"/>
      <c r="AY8" s="53" t="n"/>
      <c r="AZ8" s="52" t="n"/>
      <c r="BA8" s="53" t="n"/>
      <c r="BB8" s="54" t="n"/>
      <c r="BC8" s="55" t="n"/>
      <c r="BD8" s="54" t="n"/>
      <c r="BE8" s="55" t="n"/>
      <c r="BF8" s="52" t="n"/>
      <c r="BG8" s="53" t="n"/>
      <c r="BH8" s="52" t="n"/>
      <c r="BI8" s="53" t="n"/>
      <c r="BJ8" s="52" t="n"/>
      <c r="BK8" s="53" t="n"/>
      <c r="BL8" s="56">
        <f>IF($A8="","",COUNTIF(D8:BK8,"+"))</f>
        <v/>
      </c>
      <c r="BM8" s="57">
        <f>IF($A8="","",COUNTIF(D8:BK8,"x"))</f>
        <v/>
      </c>
      <c r="BN8" s="57">
        <f>IF($A8="","",COUNTIF(D8:BK8,"-"))</f>
        <v/>
      </c>
      <c r="BO8" s="58">
        <f>IF($A8="","",BL8+BM8*0.5)</f>
        <v/>
      </c>
      <c r="BP8" s="58">
        <f>IF($A8="","",SUM(E8,G8,I8,K8,M8,O8,Q8,S8,U8,W8,Y8,AA8,AC8,AE8,AG8,AI8,AK8,AM8,AO8,AQ8,AS8,AU8,AW8,AY8,BA8,BC8,BE8,BG8,BI8,BK8))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n"/>
      <c r="E9" s="60" t="n"/>
      <c r="F9" s="59" t="n"/>
      <c r="G9" s="60" t="n"/>
      <c r="H9" s="59" t="n"/>
      <c r="I9" s="60" t="n"/>
      <c r="J9" s="59" t="n"/>
      <c r="K9" s="60" t="n"/>
      <c r="L9" s="54" t="n"/>
      <c r="M9" s="55" t="n"/>
      <c r="N9" s="54" t="n"/>
      <c r="O9" s="55" t="n"/>
      <c r="P9" s="59" t="n"/>
      <c r="Q9" s="60" t="n"/>
      <c r="R9" s="59" t="n"/>
      <c r="S9" s="60" t="n"/>
      <c r="T9" s="59" t="n"/>
      <c r="U9" s="60" t="n"/>
      <c r="V9" s="59" t="n"/>
      <c r="W9" s="60" t="n"/>
      <c r="X9" s="59" t="n"/>
      <c r="Y9" s="60" t="n"/>
      <c r="Z9" s="54" t="n"/>
      <c r="AA9" s="55" t="n"/>
      <c r="AB9" s="54" t="n"/>
      <c r="AC9" s="55" t="n"/>
      <c r="AD9" s="59" t="n"/>
      <c r="AE9" s="60" t="n"/>
      <c r="AF9" s="59" t="n"/>
      <c r="AG9" s="60" t="n"/>
      <c r="AH9" s="59" t="n"/>
      <c r="AI9" s="60" t="n"/>
      <c r="AJ9" s="59" t="n"/>
      <c r="AK9" s="60" t="n"/>
      <c r="AL9" s="59" t="n"/>
      <c r="AM9" s="60" t="n"/>
      <c r="AN9" s="54" t="n"/>
      <c r="AO9" s="55" t="n"/>
      <c r="AP9" s="54" t="n"/>
      <c r="AQ9" s="55" t="n"/>
      <c r="AR9" s="59" t="n"/>
      <c r="AS9" s="60" t="n"/>
      <c r="AT9" s="59" t="n"/>
      <c r="AU9" s="60" t="n"/>
      <c r="AV9" s="59" t="n"/>
      <c r="AW9" s="60" t="n"/>
      <c r="AX9" s="59" t="n"/>
      <c r="AY9" s="60" t="n"/>
      <c r="AZ9" s="59" t="n"/>
      <c r="BA9" s="60" t="n"/>
      <c r="BB9" s="54" t="n"/>
      <c r="BC9" s="55" t="n"/>
      <c r="BD9" s="54" t="n"/>
      <c r="BE9" s="55" t="n"/>
      <c r="BF9" s="59" t="n"/>
      <c r="BG9" s="60" t="n"/>
      <c r="BH9" s="59" t="n"/>
      <c r="BI9" s="60" t="n"/>
      <c r="BJ9" s="59" t="n"/>
      <c r="BK9" s="60" t="n"/>
      <c r="BL9" s="56">
        <f>IF($A9="","",COUNTIF(D9:BK9,"+"))</f>
        <v/>
      </c>
      <c r="BM9" s="57">
        <f>IF($A9="","",COUNTIF(D9:BK9,"x"))</f>
        <v/>
      </c>
      <c r="BN9" s="57">
        <f>IF($A9="","",COUNTIF(D9:BK9,"-"))</f>
        <v/>
      </c>
      <c r="BO9" s="58">
        <f>IF($A9="","",BL9+BM9*0.5)</f>
        <v/>
      </c>
      <c r="BP9" s="58">
        <f>IF($A9="","",SUM(E9,G9,I9,K9,M9,O9,Q9,S9,U9,W9,Y9,AA9,AC9,AE9,AG9,AI9,AK9,AM9,AO9,AQ9,AS9,AU9,AW9,AY9,BA9,BC9,BE9,BG9,BI9,BK9))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n"/>
      <c r="E10" s="53" t="n"/>
      <c r="F10" s="52" t="n"/>
      <c r="G10" s="53" t="n"/>
      <c r="H10" s="52" t="n"/>
      <c r="I10" s="53" t="n"/>
      <c r="J10" s="52" t="n"/>
      <c r="K10" s="53" t="n"/>
      <c r="L10" s="54" t="n"/>
      <c r="M10" s="55" t="n"/>
      <c r="N10" s="54" t="n"/>
      <c r="O10" s="55" t="n"/>
      <c r="P10" s="52" t="n"/>
      <c r="Q10" s="53" t="n"/>
      <c r="R10" s="52" t="n"/>
      <c r="S10" s="53" t="n"/>
      <c r="T10" s="52" t="n"/>
      <c r="U10" s="53" t="n"/>
      <c r="V10" s="52" t="n"/>
      <c r="W10" s="53" t="n"/>
      <c r="X10" s="52" t="n"/>
      <c r="Y10" s="53" t="n"/>
      <c r="Z10" s="54" t="n"/>
      <c r="AA10" s="55" t="n"/>
      <c r="AB10" s="54" t="n"/>
      <c r="AC10" s="55" t="n"/>
      <c r="AD10" s="52" t="n"/>
      <c r="AE10" s="53" t="n"/>
      <c r="AF10" s="52" t="n"/>
      <c r="AG10" s="53" t="n"/>
      <c r="AH10" s="52" t="n"/>
      <c r="AI10" s="53" t="n"/>
      <c r="AJ10" s="52" t="n"/>
      <c r="AK10" s="53" t="n"/>
      <c r="AL10" s="52" t="n"/>
      <c r="AM10" s="53" t="n"/>
      <c r="AN10" s="54" t="n"/>
      <c r="AO10" s="55" t="n"/>
      <c r="AP10" s="54" t="n"/>
      <c r="AQ10" s="55" t="n"/>
      <c r="AR10" s="52" t="n"/>
      <c r="AS10" s="53" t="n"/>
      <c r="AT10" s="52" t="n"/>
      <c r="AU10" s="53" t="n"/>
      <c r="AV10" s="52" t="n"/>
      <c r="AW10" s="53" t="n"/>
      <c r="AX10" s="52" t="n"/>
      <c r="AY10" s="53" t="n"/>
      <c r="AZ10" s="52" t="n"/>
      <c r="BA10" s="53" t="n"/>
      <c r="BB10" s="54" t="n"/>
      <c r="BC10" s="55" t="n"/>
      <c r="BD10" s="54" t="n"/>
      <c r="BE10" s="55" t="n"/>
      <c r="BF10" s="52" t="n"/>
      <c r="BG10" s="53" t="n"/>
      <c r="BH10" s="52" t="n"/>
      <c r="BI10" s="53" t="n"/>
      <c r="BJ10" s="52" t="n"/>
      <c r="BK10" s="53" t="n"/>
      <c r="BL10" s="56">
        <f>IF($A10="","",COUNTIF(D10:BK10,"+"))</f>
        <v/>
      </c>
      <c r="BM10" s="57">
        <f>IF($A10="","",COUNTIF(D10:BK10,"x"))</f>
        <v/>
      </c>
      <c r="BN10" s="57">
        <f>IF($A10="","",COUNTIF(D10:BK10,"-"))</f>
        <v/>
      </c>
      <c r="BO10" s="58">
        <f>IF($A10="","",BL10+BM10*0.5)</f>
        <v/>
      </c>
      <c r="BP10" s="58">
        <f>IF($A10="","",SUM(E10,G10,I10,K10,M10,O10,Q10,S10,U10,W10,Y10,AA10,AC10,AE10,AG10,AI10,AK10,AM10,AO10,AQ10,AS10,AU10,AW10,AY10,BA10,BC10,BE10,BG10,BI10,BK10))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n"/>
      <c r="E11" s="60" t="n"/>
      <c r="F11" s="59" t="n"/>
      <c r="G11" s="60" t="n"/>
      <c r="H11" s="59" t="n"/>
      <c r="I11" s="60" t="n"/>
      <c r="J11" s="59" t="n"/>
      <c r="K11" s="60" t="n"/>
      <c r="L11" s="54" t="n"/>
      <c r="M11" s="55" t="n"/>
      <c r="N11" s="54" t="n"/>
      <c r="O11" s="55" t="n"/>
      <c r="P11" s="59" t="n"/>
      <c r="Q11" s="60" t="n"/>
      <c r="R11" s="59" t="n"/>
      <c r="S11" s="60" t="n"/>
      <c r="T11" s="59" t="n"/>
      <c r="U11" s="60" t="n"/>
      <c r="V11" s="59" t="n"/>
      <c r="W11" s="60" t="n"/>
      <c r="X11" s="59" t="n"/>
      <c r="Y11" s="60" t="n"/>
      <c r="Z11" s="54" t="n"/>
      <c r="AA11" s="55" t="n"/>
      <c r="AB11" s="54" t="n"/>
      <c r="AC11" s="55" t="n"/>
      <c r="AD11" s="59" t="n"/>
      <c r="AE11" s="60" t="n"/>
      <c r="AF11" s="59" t="n"/>
      <c r="AG11" s="60" t="n"/>
      <c r="AH11" s="59" t="n"/>
      <c r="AI11" s="60" t="n"/>
      <c r="AJ11" s="59" t="n"/>
      <c r="AK11" s="60" t="n"/>
      <c r="AL11" s="59" t="n"/>
      <c r="AM11" s="60" t="n"/>
      <c r="AN11" s="54" t="n"/>
      <c r="AO11" s="55" t="n"/>
      <c r="AP11" s="54" t="n"/>
      <c r="AQ11" s="55" t="n"/>
      <c r="AR11" s="59" t="n"/>
      <c r="AS11" s="60" t="n"/>
      <c r="AT11" s="59" t="n"/>
      <c r="AU11" s="60" t="n"/>
      <c r="AV11" s="59" t="n"/>
      <c r="AW11" s="60" t="n"/>
      <c r="AX11" s="59" t="n"/>
      <c r="AY11" s="60" t="n"/>
      <c r="AZ11" s="59" t="n"/>
      <c r="BA11" s="60" t="n"/>
      <c r="BB11" s="54" t="n"/>
      <c r="BC11" s="55" t="n"/>
      <c r="BD11" s="54" t="n"/>
      <c r="BE11" s="55" t="n"/>
      <c r="BF11" s="59" t="n"/>
      <c r="BG11" s="60" t="n"/>
      <c r="BH11" s="59" t="n"/>
      <c r="BI11" s="60" t="n"/>
      <c r="BJ11" s="59" t="n"/>
      <c r="BK11" s="60" t="n"/>
      <c r="BL11" s="56">
        <f>IF($A11="","",COUNTIF(D11:BK11,"+"))</f>
        <v/>
      </c>
      <c r="BM11" s="57">
        <f>IF($A11="","",COUNTIF(D11:BK11,"x"))</f>
        <v/>
      </c>
      <c r="BN11" s="57">
        <f>IF($A11="","",COUNTIF(D11:BK11,"-"))</f>
        <v/>
      </c>
      <c r="BO11" s="58">
        <f>IF($A11="","",BL11+BM11*0.5)</f>
        <v/>
      </c>
      <c r="BP11" s="58">
        <f>IF($A11="","",SUM(E11,G11,I11,K11,M11,O11,Q11,S11,U11,W11,Y11,AA11,AC11,AE11,AG11,AI11,AK11,AM11,AO11,AQ11,AS11,AU11,AW11,AY11,BA11,BC11,BE11,BG11,BI11,BK11))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n"/>
      <c r="E12" s="53" t="n"/>
      <c r="F12" s="52" t="n"/>
      <c r="G12" s="53" t="n"/>
      <c r="H12" s="52" t="n"/>
      <c r="I12" s="53" t="n"/>
      <c r="J12" s="52" t="n"/>
      <c r="K12" s="53" t="n"/>
      <c r="L12" s="54" t="n"/>
      <c r="M12" s="55" t="n"/>
      <c r="N12" s="54" t="n"/>
      <c r="O12" s="55" t="n"/>
      <c r="P12" s="52" t="n"/>
      <c r="Q12" s="53" t="n"/>
      <c r="R12" s="52" t="n"/>
      <c r="S12" s="53" t="n"/>
      <c r="T12" s="52" t="n"/>
      <c r="U12" s="53" t="n"/>
      <c r="V12" s="52" t="n"/>
      <c r="W12" s="53" t="n"/>
      <c r="X12" s="52" t="n"/>
      <c r="Y12" s="53" t="n"/>
      <c r="Z12" s="54" t="n"/>
      <c r="AA12" s="55" t="n"/>
      <c r="AB12" s="54" t="n"/>
      <c r="AC12" s="55" t="n"/>
      <c r="AD12" s="52" t="n"/>
      <c r="AE12" s="53" t="n"/>
      <c r="AF12" s="52" t="n"/>
      <c r="AG12" s="53" t="n"/>
      <c r="AH12" s="52" t="n"/>
      <c r="AI12" s="53" t="n"/>
      <c r="AJ12" s="52" t="n"/>
      <c r="AK12" s="53" t="n"/>
      <c r="AL12" s="52" t="n"/>
      <c r="AM12" s="53" t="n"/>
      <c r="AN12" s="54" t="n"/>
      <c r="AO12" s="55" t="n"/>
      <c r="AP12" s="54" t="n"/>
      <c r="AQ12" s="55" t="n"/>
      <c r="AR12" s="52" t="n"/>
      <c r="AS12" s="53" t="n"/>
      <c r="AT12" s="52" t="n"/>
      <c r="AU12" s="53" t="n"/>
      <c r="AV12" s="52" t="n"/>
      <c r="AW12" s="53" t="n"/>
      <c r="AX12" s="52" t="n"/>
      <c r="AY12" s="53" t="n"/>
      <c r="AZ12" s="52" t="n"/>
      <c r="BA12" s="53" t="n"/>
      <c r="BB12" s="54" t="n"/>
      <c r="BC12" s="55" t="n"/>
      <c r="BD12" s="54" t="n"/>
      <c r="BE12" s="55" t="n"/>
      <c r="BF12" s="52" t="n"/>
      <c r="BG12" s="53" t="n"/>
      <c r="BH12" s="52" t="n"/>
      <c r="BI12" s="53" t="n"/>
      <c r="BJ12" s="52" t="n"/>
      <c r="BK12" s="53" t="n"/>
      <c r="BL12" s="56">
        <f>IF($A12="","",COUNTIF(D12:BK12,"+"))</f>
        <v/>
      </c>
      <c r="BM12" s="57">
        <f>IF($A12="","",COUNTIF(D12:BK12,"x"))</f>
        <v/>
      </c>
      <c r="BN12" s="57">
        <f>IF($A12="","",COUNTIF(D12:BK12,"-"))</f>
        <v/>
      </c>
      <c r="BO12" s="58">
        <f>IF($A12="","",BL12+BM12*0.5)</f>
        <v/>
      </c>
      <c r="BP12" s="58">
        <f>IF($A12="","",SUM(E12,G12,I12,K12,M12,O12,Q12,S12,U12,W12,Y12,AA12,AC12,AE12,AG12,AI12,AK12,AM12,AO12,AQ12,AS12,AU12,AW12,AY12,BA12,BC12,BE12,BG12,BI12,BK12))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9" t="n"/>
      <c r="G13" s="60" t="n"/>
      <c r="H13" s="59" t="n"/>
      <c r="I13" s="60" t="n"/>
      <c r="J13" s="59" t="n"/>
      <c r="K13" s="60" t="n"/>
      <c r="L13" s="54" t="n"/>
      <c r="M13" s="55" t="n"/>
      <c r="N13" s="54" t="n"/>
      <c r="O13" s="55" t="n"/>
      <c r="P13" s="59" t="n"/>
      <c r="Q13" s="60" t="n"/>
      <c r="R13" s="59" t="n"/>
      <c r="S13" s="60" t="n"/>
      <c r="T13" s="59" t="n"/>
      <c r="U13" s="60" t="n"/>
      <c r="V13" s="59" t="n"/>
      <c r="W13" s="60" t="n"/>
      <c r="X13" s="59" t="n"/>
      <c r="Y13" s="60" t="n"/>
      <c r="Z13" s="54" t="n"/>
      <c r="AA13" s="55" t="n"/>
      <c r="AB13" s="54" t="n"/>
      <c r="AC13" s="55" t="n"/>
      <c r="AD13" s="59" t="n"/>
      <c r="AE13" s="60" t="n"/>
      <c r="AF13" s="59" t="n"/>
      <c r="AG13" s="60" t="n"/>
      <c r="AH13" s="59" t="n"/>
      <c r="AI13" s="60" t="n"/>
      <c r="AJ13" s="59" t="n"/>
      <c r="AK13" s="60" t="n"/>
      <c r="AL13" s="59" t="n"/>
      <c r="AM13" s="60" t="n"/>
      <c r="AN13" s="54" t="n"/>
      <c r="AO13" s="55" t="n"/>
      <c r="AP13" s="54" t="n"/>
      <c r="AQ13" s="55" t="n"/>
      <c r="AR13" s="59" t="n"/>
      <c r="AS13" s="60" t="n"/>
      <c r="AT13" s="59" t="n"/>
      <c r="AU13" s="60" t="n"/>
      <c r="AV13" s="59" t="n"/>
      <c r="AW13" s="60" t="n"/>
      <c r="AX13" s="59" t="n"/>
      <c r="AY13" s="60" t="n"/>
      <c r="AZ13" s="59" t="n"/>
      <c r="BA13" s="60" t="n"/>
      <c r="BB13" s="54" t="n"/>
      <c r="BC13" s="55" t="n"/>
      <c r="BD13" s="54" t="n"/>
      <c r="BE13" s="55" t="n"/>
      <c r="BF13" s="59" t="n"/>
      <c r="BG13" s="60" t="n"/>
      <c r="BH13" s="59" t="n"/>
      <c r="BI13" s="60" t="n"/>
      <c r="BJ13" s="59" t="n"/>
      <c r="BK13" s="60" t="n"/>
      <c r="BL13" s="56">
        <f>IF($A13="","",COUNTIF(D13:BK13,"+"))</f>
        <v/>
      </c>
      <c r="BM13" s="57">
        <f>IF($A13="","",COUNTIF(D13:BK13,"x"))</f>
        <v/>
      </c>
      <c r="BN13" s="57">
        <f>IF($A13="","",COUNTIF(D13:BK13,"-"))</f>
        <v/>
      </c>
      <c r="BO13" s="58">
        <f>IF($A13="","",BL13+BM13*0.5)</f>
        <v/>
      </c>
      <c r="BP13" s="58">
        <f>IF($A13="","",SUM(E13,G13,I13,K13,M13,O13,Q13,S13,U13,W13,Y13,AA13,AC13,AE13,AG13,AI13,AK13,AM13,AO13,AQ13,AS13,AU13,AW13,AY13,BA13,BC13,BE13,BG13,BI13,BK13))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2" t="n"/>
      <c r="G14" s="53" t="n"/>
      <c r="H14" s="52" t="n"/>
      <c r="I14" s="53" t="n"/>
      <c r="J14" s="52" t="n"/>
      <c r="K14" s="53" t="n"/>
      <c r="L14" s="54" t="n"/>
      <c r="M14" s="55" t="n"/>
      <c r="N14" s="54" t="n"/>
      <c r="O14" s="55" t="n"/>
      <c r="P14" s="52" t="n"/>
      <c r="Q14" s="53" t="n"/>
      <c r="R14" s="52" t="n"/>
      <c r="S14" s="53" t="n"/>
      <c r="T14" s="52" t="n"/>
      <c r="U14" s="53" t="n"/>
      <c r="V14" s="52" t="n"/>
      <c r="W14" s="53" t="n"/>
      <c r="X14" s="52" t="n"/>
      <c r="Y14" s="53" t="n"/>
      <c r="Z14" s="54" t="n"/>
      <c r="AA14" s="55" t="n"/>
      <c r="AB14" s="54" t="n"/>
      <c r="AC14" s="55" t="n"/>
      <c r="AD14" s="52" t="n"/>
      <c r="AE14" s="53" t="n"/>
      <c r="AF14" s="52" t="n"/>
      <c r="AG14" s="53" t="n"/>
      <c r="AH14" s="52" t="n"/>
      <c r="AI14" s="53" t="n"/>
      <c r="AJ14" s="52" t="n"/>
      <c r="AK14" s="53" t="n"/>
      <c r="AL14" s="52" t="n"/>
      <c r="AM14" s="53" t="n"/>
      <c r="AN14" s="54" t="n"/>
      <c r="AO14" s="55" t="n"/>
      <c r="AP14" s="54" t="n"/>
      <c r="AQ14" s="55" t="n"/>
      <c r="AR14" s="52" t="n"/>
      <c r="AS14" s="53" t="n"/>
      <c r="AT14" s="52" t="n"/>
      <c r="AU14" s="53" t="n"/>
      <c r="AV14" s="52" t="n"/>
      <c r="AW14" s="53" t="n"/>
      <c r="AX14" s="52" t="n"/>
      <c r="AY14" s="53" t="n"/>
      <c r="AZ14" s="52" t="n"/>
      <c r="BA14" s="53" t="n"/>
      <c r="BB14" s="54" t="n"/>
      <c r="BC14" s="55" t="n"/>
      <c r="BD14" s="54" t="n"/>
      <c r="BE14" s="55" t="n"/>
      <c r="BF14" s="52" t="n"/>
      <c r="BG14" s="53" t="n"/>
      <c r="BH14" s="52" t="n"/>
      <c r="BI14" s="53" t="n"/>
      <c r="BJ14" s="52" t="n"/>
      <c r="BK14" s="53" t="n"/>
      <c r="BL14" s="56">
        <f>IF($A14="","",COUNTIF(D14:BK14,"+"))</f>
        <v/>
      </c>
      <c r="BM14" s="57">
        <f>IF($A14="","",COUNTIF(D14:BK14,"x"))</f>
        <v/>
      </c>
      <c r="BN14" s="57">
        <f>IF($A14="","",COUNTIF(D14:BK14,"-"))</f>
        <v/>
      </c>
      <c r="BO14" s="58">
        <f>IF($A14="","",BL14+BM14*0.5)</f>
        <v/>
      </c>
      <c r="BP14" s="58">
        <f>IF($A14="","",SUM(E14,G14,I14,K14,M14,O14,Q14,S14,U14,W14,Y14,AA14,AC14,AE14,AG14,AI14,AK14,AM14,AO14,AQ14,AS14,AU14,AW14,AY14,BA14,BC14,BE14,BG14,BI14,BK14))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9" t="n"/>
      <c r="G15" s="60" t="n"/>
      <c r="H15" s="59" t="n"/>
      <c r="I15" s="60" t="n"/>
      <c r="J15" s="59" t="n"/>
      <c r="K15" s="60" t="n"/>
      <c r="L15" s="54" t="n"/>
      <c r="M15" s="55" t="n"/>
      <c r="N15" s="54" t="n"/>
      <c r="O15" s="55" t="n"/>
      <c r="P15" s="59" t="n"/>
      <c r="Q15" s="60" t="n"/>
      <c r="R15" s="59" t="n"/>
      <c r="S15" s="60" t="n"/>
      <c r="T15" s="59" t="n"/>
      <c r="U15" s="60" t="n"/>
      <c r="V15" s="59" t="n"/>
      <c r="W15" s="60" t="n"/>
      <c r="X15" s="59" t="n"/>
      <c r="Y15" s="60" t="n"/>
      <c r="Z15" s="54" t="n"/>
      <c r="AA15" s="55" t="n"/>
      <c r="AB15" s="54" t="n"/>
      <c r="AC15" s="55" t="n"/>
      <c r="AD15" s="59" t="n"/>
      <c r="AE15" s="60" t="n"/>
      <c r="AF15" s="59" t="n"/>
      <c r="AG15" s="60" t="n"/>
      <c r="AH15" s="59" t="n"/>
      <c r="AI15" s="60" t="n"/>
      <c r="AJ15" s="59" t="n"/>
      <c r="AK15" s="60" t="n"/>
      <c r="AL15" s="59" t="n"/>
      <c r="AM15" s="60" t="n"/>
      <c r="AN15" s="54" t="n"/>
      <c r="AO15" s="55" t="n"/>
      <c r="AP15" s="54" t="n"/>
      <c r="AQ15" s="55" t="n"/>
      <c r="AR15" s="59" t="n"/>
      <c r="AS15" s="60" t="n"/>
      <c r="AT15" s="59" t="n"/>
      <c r="AU15" s="60" t="n"/>
      <c r="AV15" s="59" t="n"/>
      <c r="AW15" s="60" t="n"/>
      <c r="AX15" s="59" t="n"/>
      <c r="AY15" s="60" t="n"/>
      <c r="AZ15" s="59" t="n"/>
      <c r="BA15" s="60" t="n"/>
      <c r="BB15" s="54" t="n"/>
      <c r="BC15" s="55" t="n"/>
      <c r="BD15" s="54" t="n"/>
      <c r="BE15" s="55" t="n"/>
      <c r="BF15" s="59" t="n"/>
      <c r="BG15" s="60" t="n"/>
      <c r="BH15" s="59" t="n"/>
      <c r="BI15" s="60" t="n"/>
      <c r="BJ15" s="59" t="n"/>
      <c r="BK15" s="60" t="n"/>
      <c r="BL15" s="56">
        <f>IF($A15="","",COUNTIF(D15:BK15,"+"))</f>
        <v/>
      </c>
      <c r="BM15" s="57">
        <f>IF($A15="","",COUNTIF(D15:BK15,"x"))</f>
        <v/>
      </c>
      <c r="BN15" s="57">
        <f>IF($A15="","",COUNTIF(D15:BK15,"-"))</f>
        <v/>
      </c>
      <c r="BO15" s="58">
        <f>IF($A15="","",BL15+BM15*0.5)</f>
        <v/>
      </c>
      <c r="BP15" s="58">
        <f>IF($A15="","",SUM(E15,G15,I15,K15,M15,O15,Q15,S15,U15,W15,Y15,AA15,AC15,AE15,AG15,AI15,AK15,AM15,AO15,AQ15,AS15,AU15,AW15,AY15,BA15,BC15,BE15,BG15,BI15,BK15))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2" t="n"/>
      <c r="G16" s="53" t="n"/>
      <c r="H16" s="52" t="n"/>
      <c r="I16" s="53" t="n"/>
      <c r="J16" s="52" t="n"/>
      <c r="K16" s="53" t="n"/>
      <c r="L16" s="54" t="n"/>
      <c r="M16" s="55" t="n"/>
      <c r="N16" s="54" t="n"/>
      <c r="O16" s="55" t="n"/>
      <c r="P16" s="52" t="n"/>
      <c r="Q16" s="53" t="n"/>
      <c r="R16" s="52" t="n"/>
      <c r="S16" s="53" t="n"/>
      <c r="T16" s="52" t="n"/>
      <c r="U16" s="53" t="n"/>
      <c r="V16" s="52" t="n"/>
      <c r="W16" s="53" t="n"/>
      <c r="X16" s="52" t="n"/>
      <c r="Y16" s="53" t="n"/>
      <c r="Z16" s="54" t="n"/>
      <c r="AA16" s="55" t="n"/>
      <c r="AB16" s="54" t="n"/>
      <c r="AC16" s="55" t="n"/>
      <c r="AD16" s="52" t="n"/>
      <c r="AE16" s="53" t="n"/>
      <c r="AF16" s="52" t="n"/>
      <c r="AG16" s="53" t="n"/>
      <c r="AH16" s="52" t="n"/>
      <c r="AI16" s="53" t="n"/>
      <c r="AJ16" s="52" t="n"/>
      <c r="AK16" s="53" t="n"/>
      <c r="AL16" s="52" t="n"/>
      <c r="AM16" s="53" t="n"/>
      <c r="AN16" s="54" t="n"/>
      <c r="AO16" s="55" t="n"/>
      <c r="AP16" s="54" t="n"/>
      <c r="AQ16" s="55" t="n"/>
      <c r="AR16" s="52" t="n"/>
      <c r="AS16" s="53" t="n"/>
      <c r="AT16" s="52" t="n"/>
      <c r="AU16" s="53" t="n"/>
      <c r="AV16" s="52" t="n"/>
      <c r="AW16" s="53" t="n"/>
      <c r="AX16" s="52" t="n"/>
      <c r="AY16" s="53" t="n"/>
      <c r="AZ16" s="52" t="n"/>
      <c r="BA16" s="53" t="n"/>
      <c r="BB16" s="54" t="n"/>
      <c r="BC16" s="55" t="n"/>
      <c r="BD16" s="54" t="n"/>
      <c r="BE16" s="55" t="n"/>
      <c r="BF16" s="52" t="n"/>
      <c r="BG16" s="53" t="n"/>
      <c r="BH16" s="52" t="n"/>
      <c r="BI16" s="53" t="n"/>
      <c r="BJ16" s="52" t="n"/>
      <c r="BK16" s="53" t="n"/>
      <c r="BL16" s="56">
        <f>IF($A16="","",COUNTIF(D16:BK16,"+"))</f>
        <v/>
      </c>
      <c r="BM16" s="57">
        <f>IF($A16="","",COUNTIF(D16:BK16,"x"))</f>
        <v/>
      </c>
      <c r="BN16" s="57">
        <f>IF($A16="","",COUNTIF(D16:BK16,"-"))</f>
        <v/>
      </c>
      <c r="BO16" s="58">
        <f>IF($A16="","",BL16+BM16*0.5)</f>
        <v/>
      </c>
      <c r="BP16" s="58">
        <f>IF($A16="","",SUM(E16,G16,I16,K16,M16,O16,Q16,S16,U16,W16,Y16,AA16,AC16,AE16,AG16,AI16,AK16,AM16,AO16,AQ16,AS16,AU16,AW16,AY16,BA16,BC16,BE16,BG16,BI16,BK16))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9" t="n"/>
      <c r="G17" s="60" t="n"/>
      <c r="H17" s="59" t="n"/>
      <c r="I17" s="60" t="n"/>
      <c r="J17" s="59" t="n"/>
      <c r="K17" s="60" t="n"/>
      <c r="L17" s="54" t="n"/>
      <c r="M17" s="55" t="n"/>
      <c r="N17" s="54" t="n"/>
      <c r="O17" s="55" t="n"/>
      <c r="P17" s="59" t="n"/>
      <c r="Q17" s="60" t="n"/>
      <c r="R17" s="59" t="n"/>
      <c r="S17" s="60" t="n"/>
      <c r="T17" s="59" t="n"/>
      <c r="U17" s="60" t="n"/>
      <c r="V17" s="59" t="n"/>
      <c r="W17" s="60" t="n"/>
      <c r="X17" s="59" t="n"/>
      <c r="Y17" s="60" t="n"/>
      <c r="Z17" s="54" t="n"/>
      <c r="AA17" s="55" t="n"/>
      <c r="AB17" s="54" t="n"/>
      <c r="AC17" s="55" t="n"/>
      <c r="AD17" s="59" t="n"/>
      <c r="AE17" s="60" t="n"/>
      <c r="AF17" s="59" t="n"/>
      <c r="AG17" s="60" t="n"/>
      <c r="AH17" s="59" t="n"/>
      <c r="AI17" s="60" t="n"/>
      <c r="AJ17" s="59" t="n"/>
      <c r="AK17" s="60" t="n"/>
      <c r="AL17" s="59" t="n"/>
      <c r="AM17" s="60" t="n"/>
      <c r="AN17" s="54" t="n"/>
      <c r="AO17" s="55" t="n"/>
      <c r="AP17" s="54" t="n"/>
      <c r="AQ17" s="55" t="n"/>
      <c r="AR17" s="59" t="n"/>
      <c r="AS17" s="60" t="n"/>
      <c r="AT17" s="59" t="n"/>
      <c r="AU17" s="60" t="n"/>
      <c r="AV17" s="59" t="n"/>
      <c r="AW17" s="60" t="n"/>
      <c r="AX17" s="59" t="n"/>
      <c r="AY17" s="60" t="n"/>
      <c r="AZ17" s="59" t="n"/>
      <c r="BA17" s="60" t="n"/>
      <c r="BB17" s="54" t="n"/>
      <c r="BC17" s="55" t="n"/>
      <c r="BD17" s="54" t="n"/>
      <c r="BE17" s="55" t="n"/>
      <c r="BF17" s="59" t="n"/>
      <c r="BG17" s="60" t="n"/>
      <c r="BH17" s="59" t="n"/>
      <c r="BI17" s="60" t="n"/>
      <c r="BJ17" s="59" t="n"/>
      <c r="BK17" s="60" t="n"/>
      <c r="BL17" s="56">
        <f>IF($A17="","",COUNTIF(D17:BK17,"+"))</f>
        <v/>
      </c>
      <c r="BM17" s="57">
        <f>IF($A17="","",COUNTIF(D17:BK17,"x"))</f>
        <v/>
      </c>
      <c r="BN17" s="57">
        <f>IF($A17="","",COUNTIF(D17:BK17,"-"))</f>
        <v/>
      </c>
      <c r="BO17" s="58">
        <f>IF($A17="","",BL17+BM17*0.5)</f>
        <v/>
      </c>
      <c r="BP17" s="58">
        <f>IF($A17="","",SUM(E17,G17,I17,K17,M17,O17,Q17,S17,U17,W17,Y17,AA17,AC17,AE17,AG17,AI17,AK17,AM17,AO17,AQ17,AS17,AU17,AW17,AY17,BA17,BC17,BE17,BG17,BI17,BK17))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2" t="n"/>
      <c r="G18" s="53" t="n"/>
      <c r="H18" s="52" t="n"/>
      <c r="I18" s="53" t="n"/>
      <c r="J18" s="52" t="n"/>
      <c r="K18" s="53" t="n"/>
      <c r="L18" s="54" t="n"/>
      <c r="M18" s="55" t="n"/>
      <c r="N18" s="54" t="n"/>
      <c r="O18" s="55" t="n"/>
      <c r="P18" s="52" t="n"/>
      <c r="Q18" s="53" t="n"/>
      <c r="R18" s="52" t="n"/>
      <c r="S18" s="53" t="n"/>
      <c r="T18" s="52" t="n"/>
      <c r="U18" s="53" t="n"/>
      <c r="V18" s="52" t="n"/>
      <c r="W18" s="53" t="n"/>
      <c r="X18" s="52" t="n"/>
      <c r="Y18" s="53" t="n"/>
      <c r="Z18" s="54" t="n"/>
      <c r="AA18" s="55" t="n"/>
      <c r="AB18" s="54" t="n"/>
      <c r="AC18" s="55" t="n"/>
      <c r="AD18" s="52" t="n"/>
      <c r="AE18" s="53" t="n"/>
      <c r="AF18" s="52" t="n"/>
      <c r="AG18" s="53" t="n"/>
      <c r="AH18" s="52" t="n"/>
      <c r="AI18" s="53" t="n"/>
      <c r="AJ18" s="52" t="n"/>
      <c r="AK18" s="53" t="n"/>
      <c r="AL18" s="52" t="n"/>
      <c r="AM18" s="53" t="n"/>
      <c r="AN18" s="54" t="n"/>
      <c r="AO18" s="55" t="n"/>
      <c r="AP18" s="54" t="n"/>
      <c r="AQ18" s="55" t="n"/>
      <c r="AR18" s="52" t="n"/>
      <c r="AS18" s="53" t="n"/>
      <c r="AT18" s="52" t="n"/>
      <c r="AU18" s="53" t="n"/>
      <c r="AV18" s="52" t="n"/>
      <c r="AW18" s="53" t="n"/>
      <c r="AX18" s="52" t="n"/>
      <c r="AY18" s="53" t="n"/>
      <c r="AZ18" s="52" t="n"/>
      <c r="BA18" s="53" t="n"/>
      <c r="BB18" s="54" t="n"/>
      <c r="BC18" s="55" t="n"/>
      <c r="BD18" s="54" t="n"/>
      <c r="BE18" s="55" t="n"/>
      <c r="BF18" s="52" t="n"/>
      <c r="BG18" s="53" t="n"/>
      <c r="BH18" s="52" t="n"/>
      <c r="BI18" s="53" t="n"/>
      <c r="BJ18" s="52" t="n"/>
      <c r="BK18" s="53" t="n"/>
      <c r="BL18" s="56">
        <f>IF($A18="","",COUNTIF(D18:BK18,"+"))</f>
        <v/>
      </c>
      <c r="BM18" s="57">
        <f>IF($A18="","",COUNTIF(D18:BK18,"x"))</f>
        <v/>
      </c>
      <c r="BN18" s="57">
        <f>IF($A18="","",COUNTIF(D18:BK18,"-"))</f>
        <v/>
      </c>
      <c r="BO18" s="58">
        <f>IF($A18="","",BL18+BM18*0.5)</f>
        <v/>
      </c>
      <c r="BP18" s="58">
        <f>IF($A18="","",SUM(E18,G18,I18,K18,M18,O18,Q18,S18,U18,W18,Y18,AA18,AC18,AE18,AG18,AI18,AK18,AM18,AO18,AQ18,AS18,AU18,AW18,AY18,BA18,BC18,BE18,BG18,BI18,BK18))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9" t="n"/>
      <c r="G19" s="60" t="n"/>
      <c r="H19" s="59" t="n"/>
      <c r="I19" s="60" t="n"/>
      <c r="J19" s="59" t="n"/>
      <c r="K19" s="60" t="n"/>
      <c r="L19" s="54" t="n"/>
      <c r="M19" s="55" t="n"/>
      <c r="N19" s="54" t="n"/>
      <c r="O19" s="55" t="n"/>
      <c r="P19" s="59" t="n"/>
      <c r="Q19" s="60" t="n"/>
      <c r="R19" s="59" t="n"/>
      <c r="S19" s="60" t="n"/>
      <c r="T19" s="59" t="n"/>
      <c r="U19" s="60" t="n"/>
      <c r="V19" s="59" t="n"/>
      <c r="W19" s="60" t="n"/>
      <c r="X19" s="59" t="n"/>
      <c r="Y19" s="60" t="n"/>
      <c r="Z19" s="54" t="n"/>
      <c r="AA19" s="55" t="n"/>
      <c r="AB19" s="54" t="n"/>
      <c r="AC19" s="55" t="n"/>
      <c r="AD19" s="59" t="n"/>
      <c r="AE19" s="60" t="n"/>
      <c r="AF19" s="59" t="n"/>
      <c r="AG19" s="60" t="n"/>
      <c r="AH19" s="59" t="n"/>
      <c r="AI19" s="60" t="n"/>
      <c r="AJ19" s="59" t="n"/>
      <c r="AK19" s="60" t="n"/>
      <c r="AL19" s="59" t="n"/>
      <c r="AM19" s="60" t="n"/>
      <c r="AN19" s="54" t="n"/>
      <c r="AO19" s="55" t="n"/>
      <c r="AP19" s="54" t="n"/>
      <c r="AQ19" s="55" t="n"/>
      <c r="AR19" s="59" t="n"/>
      <c r="AS19" s="60" t="n"/>
      <c r="AT19" s="59" t="n"/>
      <c r="AU19" s="60" t="n"/>
      <c r="AV19" s="59" t="n"/>
      <c r="AW19" s="60" t="n"/>
      <c r="AX19" s="59" t="n"/>
      <c r="AY19" s="60" t="n"/>
      <c r="AZ19" s="59" t="n"/>
      <c r="BA19" s="60" t="n"/>
      <c r="BB19" s="54" t="n"/>
      <c r="BC19" s="55" t="n"/>
      <c r="BD19" s="54" t="n"/>
      <c r="BE19" s="55" t="n"/>
      <c r="BF19" s="59" t="n"/>
      <c r="BG19" s="60" t="n"/>
      <c r="BH19" s="59" t="n"/>
      <c r="BI19" s="60" t="n"/>
      <c r="BJ19" s="59" t="n"/>
      <c r="BK19" s="60" t="n"/>
      <c r="BL19" s="56">
        <f>IF($A19="","",COUNTIF(D19:BK19,"+"))</f>
        <v/>
      </c>
      <c r="BM19" s="57">
        <f>IF($A19="","",COUNTIF(D19:BK19,"x"))</f>
        <v/>
      </c>
      <c r="BN19" s="57">
        <f>IF($A19="","",COUNTIF(D19:BK19,"-"))</f>
        <v/>
      </c>
      <c r="BO19" s="58">
        <f>IF($A19="","",BL19+BM19*0.5)</f>
        <v/>
      </c>
      <c r="BP19" s="58">
        <f>IF($A19="","",SUM(E19,G19,I19,K19,M19,O19,Q19,S19,U19,W19,Y19,AA19,AC19,AE19,AG19,AI19,AK19,AM19,AO19,AQ19,AS19,AU19,AW19,AY19,BA19,BC19,BE19,BG19,BI19,BK19))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2" t="n"/>
      <c r="G20" s="53" t="n"/>
      <c r="H20" s="52" t="n"/>
      <c r="I20" s="53" t="n"/>
      <c r="J20" s="52" t="n"/>
      <c r="K20" s="53" t="n"/>
      <c r="L20" s="54" t="n"/>
      <c r="M20" s="55" t="n"/>
      <c r="N20" s="54" t="n"/>
      <c r="O20" s="55" t="n"/>
      <c r="P20" s="52" t="n"/>
      <c r="Q20" s="53" t="n"/>
      <c r="R20" s="52" t="n"/>
      <c r="S20" s="53" t="n"/>
      <c r="T20" s="52" t="n"/>
      <c r="U20" s="53" t="n"/>
      <c r="V20" s="52" t="n"/>
      <c r="W20" s="53" t="n"/>
      <c r="X20" s="52" t="n"/>
      <c r="Y20" s="53" t="n"/>
      <c r="Z20" s="54" t="n"/>
      <c r="AA20" s="55" t="n"/>
      <c r="AB20" s="54" t="n"/>
      <c r="AC20" s="55" t="n"/>
      <c r="AD20" s="52" t="n"/>
      <c r="AE20" s="53" t="n"/>
      <c r="AF20" s="52" t="n"/>
      <c r="AG20" s="53" t="n"/>
      <c r="AH20" s="52" t="n"/>
      <c r="AI20" s="53" t="n"/>
      <c r="AJ20" s="52" t="n"/>
      <c r="AK20" s="53" t="n"/>
      <c r="AL20" s="52" t="n"/>
      <c r="AM20" s="53" t="n"/>
      <c r="AN20" s="54" t="n"/>
      <c r="AO20" s="55" t="n"/>
      <c r="AP20" s="54" t="n"/>
      <c r="AQ20" s="55" t="n"/>
      <c r="AR20" s="52" t="n"/>
      <c r="AS20" s="53" t="n"/>
      <c r="AT20" s="52" t="n"/>
      <c r="AU20" s="53" t="n"/>
      <c r="AV20" s="52" t="n"/>
      <c r="AW20" s="53" t="n"/>
      <c r="AX20" s="52" t="n"/>
      <c r="AY20" s="53" t="n"/>
      <c r="AZ20" s="52" t="n"/>
      <c r="BA20" s="53" t="n"/>
      <c r="BB20" s="54" t="n"/>
      <c r="BC20" s="55" t="n"/>
      <c r="BD20" s="54" t="n"/>
      <c r="BE20" s="55" t="n"/>
      <c r="BF20" s="52" t="n"/>
      <c r="BG20" s="53" t="n"/>
      <c r="BH20" s="52" t="n"/>
      <c r="BI20" s="53" t="n"/>
      <c r="BJ20" s="52" t="n"/>
      <c r="BK20" s="53" t="n"/>
      <c r="BL20" s="56">
        <f>IF($A20="","",COUNTIF(D20:BK20,"+"))</f>
        <v/>
      </c>
      <c r="BM20" s="57">
        <f>IF($A20="","",COUNTIF(D20:BK20,"x"))</f>
        <v/>
      </c>
      <c r="BN20" s="57">
        <f>IF($A20="","",COUNTIF(D20:BK20,"-"))</f>
        <v/>
      </c>
      <c r="BO20" s="58">
        <f>IF($A20="","",BL20+BM20*0.5)</f>
        <v/>
      </c>
      <c r="BP20" s="58">
        <f>IF($A20="","",SUM(E20,G20,I20,K20,M20,O20,Q20,S20,U20,W20,Y20,AA20,AC20,AE20,AG20,AI20,AK20,AM20,AO20,AQ20,AS20,AU20,AW20,AY20,BA20,BC20,BE20,BG20,BI20,BK20))</f>
        <v/>
      </c>
    </row>
  </sheetData>
  <mergeCells count="43">
    <mergeCell ref="F4:G4"/>
    <mergeCell ref="P4:Q4"/>
    <mergeCell ref="AX4:AY4"/>
    <mergeCell ref="BH4:BI4"/>
    <mergeCell ref="C4:C5"/>
    <mergeCell ref="BJ4:BK4"/>
    <mergeCell ref="BP4:BP5"/>
    <mergeCell ref="H4:I4"/>
    <mergeCell ref="R4:S4"/>
    <mergeCell ref="A2:C2"/>
    <mergeCell ref="AB4:AC4"/>
    <mergeCell ref="T4:U4"/>
    <mergeCell ref="AF4:AG4"/>
    <mergeCell ref="V4:W4"/>
    <mergeCell ref="AH4:AI4"/>
    <mergeCell ref="AN4:AO4"/>
    <mergeCell ref="BL4:BL5"/>
    <mergeCell ref="BN4:BN5"/>
    <mergeCell ref="I2:L2"/>
    <mergeCell ref="AR4:AS4"/>
    <mergeCell ref="AV4:AW4"/>
    <mergeCell ref="AT4:AU4"/>
    <mergeCell ref="AZ4:BA4"/>
    <mergeCell ref="J4:K4"/>
    <mergeCell ref="A1:BP1"/>
    <mergeCell ref="BB4:BC4"/>
    <mergeCell ref="L4:M4"/>
    <mergeCell ref="BD4:BE4"/>
    <mergeCell ref="BF4:BG4"/>
    <mergeCell ref="A4:A5"/>
    <mergeCell ref="D4:E4"/>
    <mergeCell ref="BM4:BM5"/>
    <mergeCell ref="N2:Q2"/>
    <mergeCell ref="D2:G2"/>
    <mergeCell ref="BO4:BO5"/>
    <mergeCell ref="X4:Y4"/>
    <mergeCell ref="AJ4:AK4"/>
    <mergeCell ref="Z4:AA4"/>
    <mergeCell ref="B4:B5"/>
    <mergeCell ref="AL4:AM4"/>
    <mergeCell ref="AD4:AE4"/>
    <mergeCell ref="AP4:AQ4"/>
    <mergeCell ref="N4:O4"/>
  </mergeCells>
  <conditionalFormatting sqref="D6:BK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R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4.6" customWidth="1" min="64" max="64"/>
    <col width="5.8" customWidth="1" min="65" max="65"/>
    <col width="9" customWidth="1" min="66" max="66"/>
    <col width="9" customWidth="1" min="67" max="67"/>
    <col width="9" customWidth="1" min="68" max="68"/>
    <col width="11" customWidth="1" min="69" max="69"/>
    <col width="11" customWidth="1" min="70" max="70"/>
  </cols>
  <sheetData>
    <row r="1" ht="32" customHeight="1">
      <c r="A1" s="1" t="inlineStr">
        <is>
          <t>EKIM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 ht="20" customHeight="1">
      <c r="A2" s="25" t="inlineStr">
        <is>
          <t>Takvim gün sayısı: 31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Per</t>
        </is>
      </c>
      <c r="E4" s="23" t="n"/>
      <c r="F4" s="23" t="inlineStr">
        <is>
          <t>2
Cum</t>
        </is>
      </c>
      <c r="G4" s="23" t="n"/>
      <c r="H4" s="49" t="inlineStr">
        <is>
          <t>3
Cmt</t>
        </is>
      </c>
      <c r="I4" s="49" t="n"/>
      <c r="J4" s="49" t="inlineStr">
        <is>
          <t>4
Paz</t>
        </is>
      </c>
      <c r="K4" s="49" t="n"/>
      <c r="L4" s="23" t="inlineStr">
        <is>
          <t>5
Pzt</t>
        </is>
      </c>
      <c r="M4" s="23" t="n"/>
      <c r="N4" s="23" t="inlineStr">
        <is>
          <t>6
Sal</t>
        </is>
      </c>
      <c r="O4" s="23" t="n"/>
      <c r="P4" s="23" t="inlineStr">
        <is>
          <t>7
Çar</t>
        </is>
      </c>
      <c r="Q4" s="23" t="n"/>
      <c r="R4" s="23" t="inlineStr">
        <is>
          <t>8
Per</t>
        </is>
      </c>
      <c r="S4" s="23" t="n"/>
      <c r="T4" s="23" t="inlineStr">
        <is>
          <t>9
Cum</t>
        </is>
      </c>
      <c r="U4" s="23" t="n"/>
      <c r="V4" s="49" t="inlineStr">
        <is>
          <t>10
Cmt</t>
        </is>
      </c>
      <c r="W4" s="49" t="n"/>
      <c r="X4" s="49" t="inlineStr">
        <is>
          <t>11
Paz</t>
        </is>
      </c>
      <c r="Y4" s="49" t="n"/>
      <c r="Z4" s="23" t="inlineStr">
        <is>
          <t>12
Pzt</t>
        </is>
      </c>
      <c r="AA4" s="23" t="n"/>
      <c r="AB4" s="23" t="inlineStr">
        <is>
          <t>13
Sal</t>
        </is>
      </c>
      <c r="AC4" s="23" t="n"/>
      <c r="AD4" s="23" t="inlineStr">
        <is>
          <t>14
Çar</t>
        </is>
      </c>
      <c r="AE4" s="23" t="n"/>
      <c r="AF4" s="23" t="inlineStr">
        <is>
          <t>15
Per</t>
        </is>
      </c>
      <c r="AG4" s="23" t="n"/>
      <c r="AH4" s="23" t="inlineStr">
        <is>
          <t>16
Cum</t>
        </is>
      </c>
      <c r="AI4" s="23" t="n"/>
      <c r="AJ4" s="49" t="inlineStr">
        <is>
          <t>17
Cmt</t>
        </is>
      </c>
      <c r="AK4" s="49" t="n"/>
      <c r="AL4" s="49" t="inlineStr">
        <is>
          <t>18
Paz</t>
        </is>
      </c>
      <c r="AM4" s="49" t="n"/>
      <c r="AN4" s="23" t="inlineStr">
        <is>
          <t>19
Pzt</t>
        </is>
      </c>
      <c r="AO4" s="23" t="n"/>
      <c r="AP4" s="23" t="inlineStr">
        <is>
          <t>20
Sal</t>
        </is>
      </c>
      <c r="AQ4" s="23" t="n"/>
      <c r="AR4" s="23" t="inlineStr">
        <is>
          <t>21
Çar</t>
        </is>
      </c>
      <c r="AS4" s="23" t="n"/>
      <c r="AT4" s="23" t="inlineStr">
        <is>
          <t>22
Per</t>
        </is>
      </c>
      <c r="AU4" s="23" t="n"/>
      <c r="AV4" s="23" t="inlineStr">
        <is>
          <t>23
Cum</t>
        </is>
      </c>
      <c r="AW4" s="23" t="n"/>
      <c r="AX4" s="49" t="inlineStr">
        <is>
          <t>24
Cmt</t>
        </is>
      </c>
      <c r="AY4" s="49" t="n"/>
      <c r="AZ4" s="49" t="inlineStr">
        <is>
          <t>25
Paz</t>
        </is>
      </c>
      <c r="BA4" s="49" t="n"/>
      <c r="BB4" s="23" t="inlineStr">
        <is>
          <t>26
Pzt</t>
        </is>
      </c>
      <c r="BC4" s="23" t="n"/>
      <c r="BD4" s="23" t="inlineStr">
        <is>
          <t>27
Sal</t>
        </is>
      </c>
      <c r="BE4" s="23" t="n"/>
      <c r="BF4" s="23" t="inlineStr">
        <is>
          <t>28
Çar</t>
        </is>
      </c>
      <c r="BG4" s="23" t="n"/>
      <c r="BH4" s="23" t="inlineStr">
        <is>
          <t>29
Per</t>
        </is>
      </c>
      <c r="BI4" s="23" t="n"/>
      <c r="BJ4" s="23" t="inlineStr">
        <is>
          <t>30
Cum</t>
        </is>
      </c>
      <c r="BK4" s="23" t="n"/>
      <c r="BL4" s="49" t="inlineStr">
        <is>
          <t>31
Cmt</t>
        </is>
      </c>
      <c r="BM4" s="49" t="n"/>
      <c r="BN4" s="50" t="inlineStr">
        <is>
          <t>Tam Gün
(+)</t>
        </is>
      </c>
      <c r="BO4" s="10" t="inlineStr">
        <is>
          <t>Yarım Gün
(x)</t>
        </is>
      </c>
      <c r="BP4" s="10" t="inlineStr">
        <is>
          <t>Gelmediği
Gün (-)</t>
        </is>
      </c>
      <c r="BQ4" s="10" t="inlineStr">
        <is>
          <t>Fiili
Çalışılan Gün</t>
        </is>
      </c>
      <c r="BR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1" t="inlineStr">
        <is>
          <t>Drm</t>
        </is>
      </c>
      <c r="BM5" s="51" t="inlineStr">
        <is>
          <t>Mesai</t>
        </is>
      </c>
      <c r="BN5" s="50" t="n"/>
      <c r="BO5" s="10" t="n"/>
      <c r="BP5" s="10" t="n"/>
      <c r="BQ5" s="10" t="n"/>
      <c r="BR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n"/>
      <c r="E6" s="53" t="n"/>
      <c r="F6" s="52" t="n"/>
      <c r="G6" s="53" t="n"/>
      <c r="H6" s="54" t="n"/>
      <c r="I6" s="55" t="n"/>
      <c r="J6" s="54" t="n"/>
      <c r="K6" s="55" t="n"/>
      <c r="L6" s="52" t="n"/>
      <c r="M6" s="53" t="n"/>
      <c r="N6" s="52" t="n"/>
      <c r="O6" s="53" t="n"/>
      <c r="P6" s="52" t="n"/>
      <c r="Q6" s="53" t="n"/>
      <c r="R6" s="52" t="n"/>
      <c r="S6" s="53" t="n"/>
      <c r="T6" s="52" t="n"/>
      <c r="U6" s="53" t="n"/>
      <c r="V6" s="54" t="n"/>
      <c r="W6" s="55" t="n"/>
      <c r="X6" s="54" t="n"/>
      <c r="Y6" s="55" t="n"/>
      <c r="Z6" s="52" t="n"/>
      <c r="AA6" s="53" t="n"/>
      <c r="AB6" s="52" t="n"/>
      <c r="AC6" s="53" t="n"/>
      <c r="AD6" s="52" t="n"/>
      <c r="AE6" s="53" t="n"/>
      <c r="AF6" s="52" t="n"/>
      <c r="AG6" s="53" t="n"/>
      <c r="AH6" s="52" t="n"/>
      <c r="AI6" s="53" t="n"/>
      <c r="AJ6" s="54" t="n"/>
      <c r="AK6" s="55" t="n"/>
      <c r="AL6" s="54" t="n"/>
      <c r="AM6" s="55" t="n"/>
      <c r="AN6" s="52" t="n"/>
      <c r="AO6" s="53" t="n"/>
      <c r="AP6" s="52" t="n"/>
      <c r="AQ6" s="53" t="n"/>
      <c r="AR6" s="52" t="n"/>
      <c r="AS6" s="53" t="n"/>
      <c r="AT6" s="52" t="n"/>
      <c r="AU6" s="53" t="n"/>
      <c r="AV6" s="52" t="n"/>
      <c r="AW6" s="53" t="n"/>
      <c r="AX6" s="54" t="n"/>
      <c r="AY6" s="55" t="n"/>
      <c r="AZ6" s="54" t="n"/>
      <c r="BA6" s="55" t="n"/>
      <c r="BB6" s="52" t="n"/>
      <c r="BC6" s="53" t="n"/>
      <c r="BD6" s="52" t="n"/>
      <c r="BE6" s="53" t="n"/>
      <c r="BF6" s="52" t="n"/>
      <c r="BG6" s="53" t="n"/>
      <c r="BH6" s="52" t="n"/>
      <c r="BI6" s="53" t="n"/>
      <c r="BJ6" s="52" t="n"/>
      <c r="BK6" s="53" t="n"/>
      <c r="BL6" s="54" t="n"/>
      <c r="BM6" s="55" t="n"/>
      <c r="BN6" s="56">
        <f>IF($A6="","",COUNTIF(D6:BM6,"+"))</f>
        <v/>
      </c>
      <c r="BO6" s="57">
        <f>IF($A6="","",COUNTIF(D6:BM6,"x"))</f>
        <v/>
      </c>
      <c r="BP6" s="57">
        <f>IF($A6="","",COUNTIF(D6:BM6,"-"))</f>
        <v/>
      </c>
      <c r="BQ6" s="58">
        <f>IF($A6="","",BN6+BO6*0.5)</f>
        <v/>
      </c>
      <c r="BR6" s="58">
        <f>IF($A6="","",SUM(E6,G6,I6,K6,M6,O6,Q6,S6,U6,W6,Y6,AA6,AC6,AE6,AG6,AI6,AK6,AM6,AO6,AQ6,AS6,AU6,AW6,AY6,BA6,BC6,BE6,BG6,BI6,BK6,BM6))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n"/>
      <c r="E7" s="60" t="n"/>
      <c r="F7" s="59" t="n"/>
      <c r="G7" s="60" t="n"/>
      <c r="H7" s="54" t="n"/>
      <c r="I7" s="55" t="n"/>
      <c r="J7" s="54" t="n"/>
      <c r="K7" s="55" t="n"/>
      <c r="L7" s="59" t="n"/>
      <c r="M7" s="60" t="n"/>
      <c r="N7" s="59" t="n"/>
      <c r="O7" s="60" t="n"/>
      <c r="P7" s="59" t="n"/>
      <c r="Q7" s="60" t="n"/>
      <c r="R7" s="59" t="n"/>
      <c r="S7" s="60" t="n"/>
      <c r="T7" s="59" t="n"/>
      <c r="U7" s="60" t="n"/>
      <c r="V7" s="54" t="n"/>
      <c r="W7" s="55" t="n"/>
      <c r="X7" s="54" t="n"/>
      <c r="Y7" s="55" t="n"/>
      <c r="Z7" s="59" t="n"/>
      <c r="AA7" s="60" t="n"/>
      <c r="AB7" s="59" t="n"/>
      <c r="AC7" s="60" t="n"/>
      <c r="AD7" s="59" t="n"/>
      <c r="AE7" s="60" t="n"/>
      <c r="AF7" s="59" t="n"/>
      <c r="AG7" s="60" t="n"/>
      <c r="AH7" s="59" t="n"/>
      <c r="AI7" s="60" t="n"/>
      <c r="AJ7" s="54" t="n"/>
      <c r="AK7" s="55" t="n"/>
      <c r="AL7" s="54" t="n"/>
      <c r="AM7" s="55" t="n"/>
      <c r="AN7" s="59" t="n"/>
      <c r="AO7" s="60" t="n"/>
      <c r="AP7" s="59" t="n"/>
      <c r="AQ7" s="60" t="n"/>
      <c r="AR7" s="59" t="n"/>
      <c r="AS7" s="60" t="n"/>
      <c r="AT7" s="59" t="n"/>
      <c r="AU7" s="60" t="n"/>
      <c r="AV7" s="59" t="n"/>
      <c r="AW7" s="60" t="n"/>
      <c r="AX7" s="54" t="n"/>
      <c r="AY7" s="55" t="n"/>
      <c r="AZ7" s="54" t="n"/>
      <c r="BA7" s="55" t="n"/>
      <c r="BB7" s="59" t="n"/>
      <c r="BC7" s="60" t="n"/>
      <c r="BD7" s="59" t="n"/>
      <c r="BE7" s="60" t="n"/>
      <c r="BF7" s="59" t="n"/>
      <c r="BG7" s="60" t="n"/>
      <c r="BH7" s="59" t="n"/>
      <c r="BI7" s="60" t="n"/>
      <c r="BJ7" s="59" t="n"/>
      <c r="BK7" s="60" t="n"/>
      <c r="BL7" s="54" t="n"/>
      <c r="BM7" s="55" t="n"/>
      <c r="BN7" s="56">
        <f>IF($A7="","",COUNTIF(D7:BM7,"+"))</f>
        <v/>
      </c>
      <c r="BO7" s="57">
        <f>IF($A7="","",COUNTIF(D7:BM7,"x"))</f>
        <v/>
      </c>
      <c r="BP7" s="57">
        <f>IF($A7="","",COUNTIF(D7:BM7,"-"))</f>
        <v/>
      </c>
      <c r="BQ7" s="58">
        <f>IF($A7="","",BN7+BO7*0.5)</f>
        <v/>
      </c>
      <c r="BR7" s="58">
        <f>IF($A7="","",SUM(E7,G7,I7,K7,M7,O7,Q7,S7,U7,W7,Y7,AA7,AC7,AE7,AG7,AI7,AK7,AM7,AO7,AQ7,AS7,AU7,AW7,AY7,BA7,BC7,BE7,BG7,BI7,BK7,BM7))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n"/>
      <c r="E8" s="53" t="n"/>
      <c r="F8" s="52" t="n"/>
      <c r="G8" s="53" t="n"/>
      <c r="H8" s="54" t="n"/>
      <c r="I8" s="55" t="n"/>
      <c r="J8" s="54" t="n"/>
      <c r="K8" s="55" t="n"/>
      <c r="L8" s="52" t="n"/>
      <c r="M8" s="53" t="n"/>
      <c r="N8" s="52" t="n"/>
      <c r="O8" s="53" t="n"/>
      <c r="P8" s="52" t="n"/>
      <c r="Q8" s="53" t="n"/>
      <c r="R8" s="52" t="n"/>
      <c r="S8" s="53" t="n"/>
      <c r="T8" s="52" t="n"/>
      <c r="U8" s="53" t="n"/>
      <c r="V8" s="54" t="n"/>
      <c r="W8" s="55" t="n"/>
      <c r="X8" s="54" t="n"/>
      <c r="Y8" s="55" t="n"/>
      <c r="Z8" s="52" t="n"/>
      <c r="AA8" s="53" t="n"/>
      <c r="AB8" s="52" t="n"/>
      <c r="AC8" s="53" t="n"/>
      <c r="AD8" s="52" t="n"/>
      <c r="AE8" s="53" t="n"/>
      <c r="AF8" s="52" t="n"/>
      <c r="AG8" s="53" t="n"/>
      <c r="AH8" s="52" t="n"/>
      <c r="AI8" s="53" t="n"/>
      <c r="AJ8" s="54" t="n"/>
      <c r="AK8" s="55" t="n"/>
      <c r="AL8" s="54" t="n"/>
      <c r="AM8" s="55" t="n"/>
      <c r="AN8" s="52" t="n"/>
      <c r="AO8" s="53" t="n"/>
      <c r="AP8" s="52" t="n"/>
      <c r="AQ8" s="53" t="n"/>
      <c r="AR8" s="52" t="n"/>
      <c r="AS8" s="53" t="n"/>
      <c r="AT8" s="52" t="n"/>
      <c r="AU8" s="53" t="n"/>
      <c r="AV8" s="52" t="n"/>
      <c r="AW8" s="53" t="n"/>
      <c r="AX8" s="54" t="n"/>
      <c r="AY8" s="55" t="n"/>
      <c r="AZ8" s="54" t="n"/>
      <c r="BA8" s="55" t="n"/>
      <c r="BB8" s="52" t="n"/>
      <c r="BC8" s="53" t="n"/>
      <c r="BD8" s="52" t="n"/>
      <c r="BE8" s="53" t="n"/>
      <c r="BF8" s="52" t="n"/>
      <c r="BG8" s="53" t="n"/>
      <c r="BH8" s="52" t="n"/>
      <c r="BI8" s="53" t="n"/>
      <c r="BJ8" s="52" t="n"/>
      <c r="BK8" s="53" t="n"/>
      <c r="BL8" s="54" t="n"/>
      <c r="BM8" s="55" t="n"/>
      <c r="BN8" s="56">
        <f>IF($A8="","",COUNTIF(D8:BM8,"+"))</f>
        <v/>
      </c>
      <c r="BO8" s="57">
        <f>IF($A8="","",COUNTIF(D8:BM8,"x"))</f>
        <v/>
      </c>
      <c r="BP8" s="57">
        <f>IF($A8="","",COUNTIF(D8:BM8,"-"))</f>
        <v/>
      </c>
      <c r="BQ8" s="58">
        <f>IF($A8="","",BN8+BO8*0.5)</f>
        <v/>
      </c>
      <c r="BR8" s="58">
        <f>IF($A8="","",SUM(E8,G8,I8,K8,M8,O8,Q8,S8,U8,W8,Y8,AA8,AC8,AE8,AG8,AI8,AK8,AM8,AO8,AQ8,AS8,AU8,AW8,AY8,BA8,BC8,BE8,BG8,BI8,BK8,BM8))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n"/>
      <c r="E9" s="60" t="n"/>
      <c r="F9" s="59" t="n"/>
      <c r="G9" s="60" t="n"/>
      <c r="H9" s="54" t="n"/>
      <c r="I9" s="55" t="n"/>
      <c r="J9" s="54" t="n"/>
      <c r="K9" s="55" t="n"/>
      <c r="L9" s="59" t="n"/>
      <c r="M9" s="60" t="n"/>
      <c r="N9" s="59" t="n"/>
      <c r="O9" s="60" t="n"/>
      <c r="P9" s="59" t="n"/>
      <c r="Q9" s="60" t="n"/>
      <c r="R9" s="59" t="n"/>
      <c r="S9" s="60" t="n"/>
      <c r="T9" s="59" t="n"/>
      <c r="U9" s="60" t="n"/>
      <c r="V9" s="54" t="n"/>
      <c r="W9" s="55" t="n"/>
      <c r="X9" s="54" t="n"/>
      <c r="Y9" s="55" t="n"/>
      <c r="Z9" s="59" t="n"/>
      <c r="AA9" s="60" t="n"/>
      <c r="AB9" s="59" t="n"/>
      <c r="AC9" s="60" t="n"/>
      <c r="AD9" s="59" t="n"/>
      <c r="AE9" s="60" t="n"/>
      <c r="AF9" s="59" t="n"/>
      <c r="AG9" s="60" t="n"/>
      <c r="AH9" s="59" t="n"/>
      <c r="AI9" s="60" t="n"/>
      <c r="AJ9" s="54" t="n"/>
      <c r="AK9" s="55" t="n"/>
      <c r="AL9" s="54" t="n"/>
      <c r="AM9" s="55" t="n"/>
      <c r="AN9" s="59" t="n"/>
      <c r="AO9" s="60" t="n"/>
      <c r="AP9" s="59" t="n"/>
      <c r="AQ9" s="60" t="n"/>
      <c r="AR9" s="59" t="n"/>
      <c r="AS9" s="60" t="n"/>
      <c r="AT9" s="59" t="n"/>
      <c r="AU9" s="60" t="n"/>
      <c r="AV9" s="59" t="n"/>
      <c r="AW9" s="60" t="n"/>
      <c r="AX9" s="54" t="n"/>
      <c r="AY9" s="55" t="n"/>
      <c r="AZ9" s="54" t="n"/>
      <c r="BA9" s="55" t="n"/>
      <c r="BB9" s="59" t="n"/>
      <c r="BC9" s="60" t="n"/>
      <c r="BD9" s="59" t="n"/>
      <c r="BE9" s="60" t="n"/>
      <c r="BF9" s="59" t="n"/>
      <c r="BG9" s="60" t="n"/>
      <c r="BH9" s="59" t="n"/>
      <c r="BI9" s="60" t="n"/>
      <c r="BJ9" s="59" t="n"/>
      <c r="BK9" s="60" t="n"/>
      <c r="BL9" s="54" t="n"/>
      <c r="BM9" s="55" t="n"/>
      <c r="BN9" s="56">
        <f>IF($A9="","",COUNTIF(D9:BM9,"+"))</f>
        <v/>
      </c>
      <c r="BO9" s="57">
        <f>IF($A9="","",COUNTIF(D9:BM9,"x"))</f>
        <v/>
      </c>
      <c r="BP9" s="57">
        <f>IF($A9="","",COUNTIF(D9:BM9,"-"))</f>
        <v/>
      </c>
      <c r="BQ9" s="58">
        <f>IF($A9="","",BN9+BO9*0.5)</f>
        <v/>
      </c>
      <c r="BR9" s="58">
        <f>IF($A9="","",SUM(E9,G9,I9,K9,M9,O9,Q9,S9,U9,W9,Y9,AA9,AC9,AE9,AG9,AI9,AK9,AM9,AO9,AQ9,AS9,AU9,AW9,AY9,BA9,BC9,BE9,BG9,BI9,BK9,BM9))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n"/>
      <c r="E10" s="53" t="n"/>
      <c r="F10" s="52" t="n"/>
      <c r="G10" s="53" t="n"/>
      <c r="H10" s="54" t="n"/>
      <c r="I10" s="55" t="n"/>
      <c r="J10" s="54" t="n"/>
      <c r="K10" s="55" t="n"/>
      <c r="L10" s="52" t="n"/>
      <c r="M10" s="53" t="n"/>
      <c r="N10" s="52" t="n"/>
      <c r="O10" s="53" t="n"/>
      <c r="P10" s="52" t="n"/>
      <c r="Q10" s="53" t="n"/>
      <c r="R10" s="52" t="n"/>
      <c r="S10" s="53" t="n"/>
      <c r="T10" s="52" t="n"/>
      <c r="U10" s="53" t="n"/>
      <c r="V10" s="54" t="n"/>
      <c r="W10" s="55" t="n"/>
      <c r="X10" s="54" t="n"/>
      <c r="Y10" s="55" t="n"/>
      <c r="Z10" s="52" t="n"/>
      <c r="AA10" s="53" t="n"/>
      <c r="AB10" s="52" t="n"/>
      <c r="AC10" s="53" t="n"/>
      <c r="AD10" s="52" t="n"/>
      <c r="AE10" s="53" t="n"/>
      <c r="AF10" s="52" t="n"/>
      <c r="AG10" s="53" t="n"/>
      <c r="AH10" s="52" t="n"/>
      <c r="AI10" s="53" t="n"/>
      <c r="AJ10" s="54" t="n"/>
      <c r="AK10" s="55" t="n"/>
      <c r="AL10" s="54" t="n"/>
      <c r="AM10" s="55" t="n"/>
      <c r="AN10" s="52" t="n"/>
      <c r="AO10" s="53" t="n"/>
      <c r="AP10" s="52" t="n"/>
      <c r="AQ10" s="53" t="n"/>
      <c r="AR10" s="52" t="n"/>
      <c r="AS10" s="53" t="n"/>
      <c r="AT10" s="52" t="n"/>
      <c r="AU10" s="53" t="n"/>
      <c r="AV10" s="52" t="n"/>
      <c r="AW10" s="53" t="n"/>
      <c r="AX10" s="54" t="n"/>
      <c r="AY10" s="55" t="n"/>
      <c r="AZ10" s="54" t="n"/>
      <c r="BA10" s="55" t="n"/>
      <c r="BB10" s="52" t="n"/>
      <c r="BC10" s="53" t="n"/>
      <c r="BD10" s="52" t="n"/>
      <c r="BE10" s="53" t="n"/>
      <c r="BF10" s="52" t="n"/>
      <c r="BG10" s="53" t="n"/>
      <c r="BH10" s="52" t="n"/>
      <c r="BI10" s="53" t="n"/>
      <c r="BJ10" s="52" t="n"/>
      <c r="BK10" s="53" t="n"/>
      <c r="BL10" s="54" t="n"/>
      <c r="BM10" s="55" t="n"/>
      <c r="BN10" s="56">
        <f>IF($A10="","",COUNTIF(D10:BM10,"+"))</f>
        <v/>
      </c>
      <c r="BO10" s="57">
        <f>IF($A10="","",COUNTIF(D10:BM10,"x"))</f>
        <v/>
      </c>
      <c r="BP10" s="57">
        <f>IF($A10="","",COUNTIF(D10:BM10,"-"))</f>
        <v/>
      </c>
      <c r="BQ10" s="58">
        <f>IF($A10="","",BN10+BO10*0.5)</f>
        <v/>
      </c>
      <c r="BR10" s="58">
        <f>IF($A10="","",SUM(E10,G10,I10,K10,M10,O10,Q10,S10,U10,W10,Y10,AA10,AC10,AE10,AG10,AI10,AK10,AM10,AO10,AQ10,AS10,AU10,AW10,AY10,BA10,BC10,BE10,BG10,BI10,BK10,BM10))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n"/>
      <c r="E11" s="60" t="n"/>
      <c r="F11" s="59" t="n"/>
      <c r="G11" s="60" t="n"/>
      <c r="H11" s="54" t="n"/>
      <c r="I11" s="55" t="n"/>
      <c r="J11" s="54" t="n"/>
      <c r="K11" s="55" t="n"/>
      <c r="L11" s="59" t="n"/>
      <c r="M11" s="60" t="n"/>
      <c r="N11" s="59" t="n"/>
      <c r="O11" s="60" t="n"/>
      <c r="P11" s="59" t="n"/>
      <c r="Q11" s="60" t="n"/>
      <c r="R11" s="59" t="n"/>
      <c r="S11" s="60" t="n"/>
      <c r="T11" s="59" t="n"/>
      <c r="U11" s="60" t="n"/>
      <c r="V11" s="54" t="n"/>
      <c r="W11" s="55" t="n"/>
      <c r="X11" s="54" t="n"/>
      <c r="Y11" s="55" t="n"/>
      <c r="Z11" s="59" t="n"/>
      <c r="AA11" s="60" t="n"/>
      <c r="AB11" s="59" t="n"/>
      <c r="AC11" s="60" t="n"/>
      <c r="AD11" s="59" t="n"/>
      <c r="AE11" s="60" t="n"/>
      <c r="AF11" s="59" t="n"/>
      <c r="AG11" s="60" t="n"/>
      <c r="AH11" s="59" t="n"/>
      <c r="AI11" s="60" t="n"/>
      <c r="AJ11" s="54" t="n"/>
      <c r="AK11" s="55" t="n"/>
      <c r="AL11" s="54" t="n"/>
      <c r="AM11" s="55" t="n"/>
      <c r="AN11" s="59" t="n"/>
      <c r="AO11" s="60" t="n"/>
      <c r="AP11" s="59" t="n"/>
      <c r="AQ11" s="60" t="n"/>
      <c r="AR11" s="59" t="n"/>
      <c r="AS11" s="60" t="n"/>
      <c r="AT11" s="59" t="n"/>
      <c r="AU11" s="60" t="n"/>
      <c r="AV11" s="59" t="n"/>
      <c r="AW11" s="60" t="n"/>
      <c r="AX11" s="54" t="n"/>
      <c r="AY11" s="55" t="n"/>
      <c r="AZ11" s="54" t="n"/>
      <c r="BA11" s="55" t="n"/>
      <c r="BB11" s="59" t="n"/>
      <c r="BC11" s="60" t="n"/>
      <c r="BD11" s="59" t="n"/>
      <c r="BE11" s="60" t="n"/>
      <c r="BF11" s="59" t="n"/>
      <c r="BG11" s="60" t="n"/>
      <c r="BH11" s="59" t="n"/>
      <c r="BI11" s="60" t="n"/>
      <c r="BJ11" s="59" t="n"/>
      <c r="BK11" s="60" t="n"/>
      <c r="BL11" s="54" t="n"/>
      <c r="BM11" s="55" t="n"/>
      <c r="BN11" s="56">
        <f>IF($A11="","",COUNTIF(D11:BM11,"+"))</f>
        <v/>
      </c>
      <c r="BO11" s="57">
        <f>IF($A11="","",COUNTIF(D11:BM11,"x"))</f>
        <v/>
      </c>
      <c r="BP11" s="57">
        <f>IF($A11="","",COUNTIF(D11:BM11,"-"))</f>
        <v/>
      </c>
      <c r="BQ11" s="58">
        <f>IF($A11="","",BN11+BO11*0.5)</f>
        <v/>
      </c>
      <c r="BR11" s="58">
        <f>IF($A11="","",SUM(E11,G11,I11,K11,M11,O11,Q11,S11,U11,W11,Y11,AA11,AC11,AE11,AG11,AI11,AK11,AM11,AO11,AQ11,AS11,AU11,AW11,AY11,BA11,BC11,BE11,BG11,BI11,BK11,BM11))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n"/>
      <c r="E12" s="53" t="n"/>
      <c r="F12" s="52" t="n"/>
      <c r="G12" s="53" t="n"/>
      <c r="H12" s="54" t="n"/>
      <c r="I12" s="55" t="n"/>
      <c r="J12" s="54" t="n"/>
      <c r="K12" s="55" t="n"/>
      <c r="L12" s="52" t="n"/>
      <c r="M12" s="53" t="n"/>
      <c r="N12" s="52" t="n"/>
      <c r="O12" s="53" t="n"/>
      <c r="P12" s="52" t="n"/>
      <c r="Q12" s="53" t="n"/>
      <c r="R12" s="52" t="n"/>
      <c r="S12" s="53" t="n"/>
      <c r="T12" s="52" t="n"/>
      <c r="U12" s="53" t="n"/>
      <c r="V12" s="54" t="n"/>
      <c r="W12" s="55" t="n"/>
      <c r="X12" s="54" t="n"/>
      <c r="Y12" s="55" t="n"/>
      <c r="Z12" s="52" t="n"/>
      <c r="AA12" s="53" t="n"/>
      <c r="AB12" s="52" t="n"/>
      <c r="AC12" s="53" t="n"/>
      <c r="AD12" s="52" t="n"/>
      <c r="AE12" s="53" t="n"/>
      <c r="AF12" s="52" t="n"/>
      <c r="AG12" s="53" t="n"/>
      <c r="AH12" s="52" t="n"/>
      <c r="AI12" s="53" t="n"/>
      <c r="AJ12" s="54" t="n"/>
      <c r="AK12" s="55" t="n"/>
      <c r="AL12" s="54" t="n"/>
      <c r="AM12" s="55" t="n"/>
      <c r="AN12" s="52" t="n"/>
      <c r="AO12" s="53" t="n"/>
      <c r="AP12" s="52" t="n"/>
      <c r="AQ12" s="53" t="n"/>
      <c r="AR12" s="52" t="n"/>
      <c r="AS12" s="53" t="n"/>
      <c r="AT12" s="52" t="n"/>
      <c r="AU12" s="53" t="n"/>
      <c r="AV12" s="52" t="n"/>
      <c r="AW12" s="53" t="n"/>
      <c r="AX12" s="54" t="n"/>
      <c r="AY12" s="55" t="n"/>
      <c r="AZ12" s="54" t="n"/>
      <c r="BA12" s="55" t="n"/>
      <c r="BB12" s="52" t="n"/>
      <c r="BC12" s="53" t="n"/>
      <c r="BD12" s="52" t="n"/>
      <c r="BE12" s="53" t="n"/>
      <c r="BF12" s="52" t="n"/>
      <c r="BG12" s="53" t="n"/>
      <c r="BH12" s="52" t="n"/>
      <c r="BI12" s="53" t="n"/>
      <c r="BJ12" s="52" t="n"/>
      <c r="BK12" s="53" t="n"/>
      <c r="BL12" s="54" t="n"/>
      <c r="BM12" s="55" t="n"/>
      <c r="BN12" s="56">
        <f>IF($A12="","",COUNTIF(D12:BM12,"+"))</f>
        <v/>
      </c>
      <c r="BO12" s="57">
        <f>IF($A12="","",COUNTIF(D12:BM12,"x"))</f>
        <v/>
      </c>
      <c r="BP12" s="57">
        <f>IF($A12="","",COUNTIF(D12:BM12,"-"))</f>
        <v/>
      </c>
      <c r="BQ12" s="58">
        <f>IF($A12="","",BN12+BO12*0.5)</f>
        <v/>
      </c>
      <c r="BR12" s="58">
        <f>IF($A12="","",SUM(E12,G12,I12,K12,M12,O12,Q12,S12,U12,W12,Y12,AA12,AC12,AE12,AG12,AI12,AK12,AM12,AO12,AQ12,AS12,AU12,AW12,AY12,BA12,BC12,BE12,BG12,BI12,BK12,BM12))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9" t="n"/>
      <c r="G13" s="60" t="n"/>
      <c r="H13" s="54" t="n"/>
      <c r="I13" s="55" t="n"/>
      <c r="J13" s="54" t="n"/>
      <c r="K13" s="55" t="n"/>
      <c r="L13" s="59" t="n"/>
      <c r="M13" s="60" t="n"/>
      <c r="N13" s="59" t="n"/>
      <c r="O13" s="60" t="n"/>
      <c r="P13" s="59" t="n"/>
      <c r="Q13" s="60" t="n"/>
      <c r="R13" s="59" t="n"/>
      <c r="S13" s="60" t="n"/>
      <c r="T13" s="59" t="n"/>
      <c r="U13" s="60" t="n"/>
      <c r="V13" s="54" t="n"/>
      <c r="W13" s="55" t="n"/>
      <c r="X13" s="54" t="n"/>
      <c r="Y13" s="55" t="n"/>
      <c r="Z13" s="59" t="n"/>
      <c r="AA13" s="60" t="n"/>
      <c r="AB13" s="59" t="n"/>
      <c r="AC13" s="60" t="n"/>
      <c r="AD13" s="59" t="n"/>
      <c r="AE13" s="60" t="n"/>
      <c r="AF13" s="59" t="n"/>
      <c r="AG13" s="60" t="n"/>
      <c r="AH13" s="59" t="n"/>
      <c r="AI13" s="60" t="n"/>
      <c r="AJ13" s="54" t="n"/>
      <c r="AK13" s="55" t="n"/>
      <c r="AL13" s="54" t="n"/>
      <c r="AM13" s="55" t="n"/>
      <c r="AN13" s="59" t="n"/>
      <c r="AO13" s="60" t="n"/>
      <c r="AP13" s="59" t="n"/>
      <c r="AQ13" s="60" t="n"/>
      <c r="AR13" s="59" t="n"/>
      <c r="AS13" s="60" t="n"/>
      <c r="AT13" s="59" t="n"/>
      <c r="AU13" s="60" t="n"/>
      <c r="AV13" s="59" t="n"/>
      <c r="AW13" s="60" t="n"/>
      <c r="AX13" s="54" t="n"/>
      <c r="AY13" s="55" t="n"/>
      <c r="AZ13" s="54" t="n"/>
      <c r="BA13" s="55" t="n"/>
      <c r="BB13" s="59" t="n"/>
      <c r="BC13" s="60" t="n"/>
      <c r="BD13" s="59" t="n"/>
      <c r="BE13" s="60" t="n"/>
      <c r="BF13" s="59" t="n"/>
      <c r="BG13" s="60" t="n"/>
      <c r="BH13" s="59" t="n"/>
      <c r="BI13" s="60" t="n"/>
      <c r="BJ13" s="59" t="n"/>
      <c r="BK13" s="60" t="n"/>
      <c r="BL13" s="54" t="n"/>
      <c r="BM13" s="55" t="n"/>
      <c r="BN13" s="56">
        <f>IF($A13="","",COUNTIF(D13:BM13,"+"))</f>
        <v/>
      </c>
      <c r="BO13" s="57">
        <f>IF($A13="","",COUNTIF(D13:BM13,"x"))</f>
        <v/>
      </c>
      <c r="BP13" s="57">
        <f>IF($A13="","",COUNTIF(D13:BM13,"-"))</f>
        <v/>
      </c>
      <c r="BQ13" s="58">
        <f>IF($A13="","",BN13+BO13*0.5)</f>
        <v/>
      </c>
      <c r="BR13" s="58">
        <f>IF($A13="","",SUM(E13,G13,I13,K13,M13,O13,Q13,S13,U13,W13,Y13,AA13,AC13,AE13,AG13,AI13,AK13,AM13,AO13,AQ13,AS13,AU13,AW13,AY13,BA13,BC13,BE13,BG13,BI13,BK13,BM13))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2" t="n"/>
      <c r="G14" s="53" t="n"/>
      <c r="H14" s="54" t="n"/>
      <c r="I14" s="55" t="n"/>
      <c r="J14" s="54" t="n"/>
      <c r="K14" s="55" t="n"/>
      <c r="L14" s="52" t="n"/>
      <c r="M14" s="53" t="n"/>
      <c r="N14" s="52" t="n"/>
      <c r="O14" s="53" t="n"/>
      <c r="P14" s="52" t="n"/>
      <c r="Q14" s="53" t="n"/>
      <c r="R14" s="52" t="n"/>
      <c r="S14" s="53" t="n"/>
      <c r="T14" s="52" t="n"/>
      <c r="U14" s="53" t="n"/>
      <c r="V14" s="54" t="n"/>
      <c r="W14" s="55" t="n"/>
      <c r="X14" s="54" t="n"/>
      <c r="Y14" s="55" t="n"/>
      <c r="Z14" s="52" t="n"/>
      <c r="AA14" s="53" t="n"/>
      <c r="AB14" s="52" t="n"/>
      <c r="AC14" s="53" t="n"/>
      <c r="AD14" s="52" t="n"/>
      <c r="AE14" s="53" t="n"/>
      <c r="AF14" s="52" t="n"/>
      <c r="AG14" s="53" t="n"/>
      <c r="AH14" s="52" t="n"/>
      <c r="AI14" s="53" t="n"/>
      <c r="AJ14" s="54" t="n"/>
      <c r="AK14" s="55" t="n"/>
      <c r="AL14" s="54" t="n"/>
      <c r="AM14" s="55" t="n"/>
      <c r="AN14" s="52" t="n"/>
      <c r="AO14" s="53" t="n"/>
      <c r="AP14" s="52" t="n"/>
      <c r="AQ14" s="53" t="n"/>
      <c r="AR14" s="52" t="n"/>
      <c r="AS14" s="53" t="n"/>
      <c r="AT14" s="52" t="n"/>
      <c r="AU14" s="53" t="n"/>
      <c r="AV14" s="52" t="n"/>
      <c r="AW14" s="53" t="n"/>
      <c r="AX14" s="54" t="n"/>
      <c r="AY14" s="55" t="n"/>
      <c r="AZ14" s="54" t="n"/>
      <c r="BA14" s="55" t="n"/>
      <c r="BB14" s="52" t="n"/>
      <c r="BC14" s="53" t="n"/>
      <c r="BD14" s="52" t="n"/>
      <c r="BE14" s="53" t="n"/>
      <c r="BF14" s="52" t="n"/>
      <c r="BG14" s="53" t="n"/>
      <c r="BH14" s="52" t="n"/>
      <c r="BI14" s="53" t="n"/>
      <c r="BJ14" s="52" t="n"/>
      <c r="BK14" s="53" t="n"/>
      <c r="BL14" s="54" t="n"/>
      <c r="BM14" s="55" t="n"/>
      <c r="BN14" s="56">
        <f>IF($A14="","",COUNTIF(D14:BM14,"+"))</f>
        <v/>
      </c>
      <c r="BO14" s="57">
        <f>IF($A14="","",COUNTIF(D14:BM14,"x"))</f>
        <v/>
      </c>
      <c r="BP14" s="57">
        <f>IF($A14="","",COUNTIF(D14:BM14,"-"))</f>
        <v/>
      </c>
      <c r="BQ14" s="58">
        <f>IF($A14="","",BN14+BO14*0.5)</f>
        <v/>
      </c>
      <c r="BR14" s="58">
        <f>IF($A14="","",SUM(E14,G14,I14,K14,M14,O14,Q14,S14,U14,W14,Y14,AA14,AC14,AE14,AG14,AI14,AK14,AM14,AO14,AQ14,AS14,AU14,AW14,AY14,BA14,BC14,BE14,BG14,BI14,BK14,BM14))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9" t="n"/>
      <c r="G15" s="60" t="n"/>
      <c r="H15" s="54" t="n"/>
      <c r="I15" s="55" t="n"/>
      <c r="J15" s="54" t="n"/>
      <c r="K15" s="55" t="n"/>
      <c r="L15" s="59" t="n"/>
      <c r="M15" s="60" t="n"/>
      <c r="N15" s="59" t="n"/>
      <c r="O15" s="60" t="n"/>
      <c r="P15" s="59" t="n"/>
      <c r="Q15" s="60" t="n"/>
      <c r="R15" s="59" t="n"/>
      <c r="S15" s="60" t="n"/>
      <c r="T15" s="59" t="n"/>
      <c r="U15" s="60" t="n"/>
      <c r="V15" s="54" t="n"/>
      <c r="W15" s="55" t="n"/>
      <c r="X15" s="54" t="n"/>
      <c r="Y15" s="55" t="n"/>
      <c r="Z15" s="59" t="n"/>
      <c r="AA15" s="60" t="n"/>
      <c r="AB15" s="59" t="n"/>
      <c r="AC15" s="60" t="n"/>
      <c r="AD15" s="59" t="n"/>
      <c r="AE15" s="60" t="n"/>
      <c r="AF15" s="59" t="n"/>
      <c r="AG15" s="60" t="n"/>
      <c r="AH15" s="59" t="n"/>
      <c r="AI15" s="60" t="n"/>
      <c r="AJ15" s="54" t="n"/>
      <c r="AK15" s="55" t="n"/>
      <c r="AL15" s="54" t="n"/>
      <c r="AM15" s="55" t="n"/>
      <c r="AN15" s="59" t="n"/>
      <c r="AO15" s="60" t="n"/>
      <c r="AP15" s="59" t="n"/>
      <c r="AQ15" s="60" t="n"/>
      <c r="AR15" s="59" t="n"/>
      <c r="AS15" s="60" t="n"/>
      <c r="AT15" s="59" t="n"/>
      <c r="AU15" s="60" t="n"/>
      <c r="AV15" s="59" t="n"/>
      <c r="AW15" s="60" t="n"/>
      <c r="AX15" s="54" t="n"/>
      <c r="AY15" s="55" t="n"/>
      <c r="AZ15" s="54" t="n"/>
      <c r="BA15" s="55" t="n"/>
      <c r="BB15" s="59" t="n"/>
      <c r="BC15" s="60" t="n"/>
      <c r="BD15" s="59" t="n"/>
      <c r="BE15" s="60" t="n"/>
      <c r="BF15" s="59" t="n"/>
      <c r="BG15" s="60" t="n"/>
      <c r="BH15" s="59" t="n"/>
      <c r="BI15" s="60" t="n"/>
      <c r="BJ15" s="59" t="n"/>
      <c r="BK15" s="60" t="n"/>
      <c r="BL15" s="54" t="n"/>
      <c r="BM15" s="55" t="n"/>
      <c r="BN15" s="56">
        <f>IF($A15="","",COUNTIF(D15:BM15,"+"))</f>
        <v/>
      </c>
      <c r="BO15" s="57">
        <f>IF($A15="","",COUNTIF(D15:BM15,"x"))</f>
        <v/>
      </c>
      <c r="BP15" s="57">
        <f>IF($A15="","",COUNTIF(D15:BM15,"-"))</f>
        <v/>
      </c>
      <c r="BQ15" s="58">
        <f>IF($A15="","",BN15+BO15*0.5)</f>
        <v/>
      </c>
      <c r="BR15" s="58">
        <f>IF($A15="","",SUM(E15,G15,I15,K15,M15,O15,Q15,S15,U15,W15,Y15,AA15,AC15,AE15,AG15,AI15,AK15,AM15,AO15,AQ15,AS15,AU15,AW15,AY15,BA15,BC15,BE15,BG15,BI15,BK15,BM15))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2" t="n"/>
      <c r="G16" s="53" t="n"/>
      <c r="H16" s="54" t="n"/>
      <c r="I16" s="55" t="n"/>
      <c r="J16" s="54" t="n"/>
      <c r="K16" s="55" t="n"/>
      <c r="L16" s="52" t="n"/>
      <c r="M16" s="53" t="n"/>
      <c r="N16" s="52" t="n"/>
      <c r="O16" s="53" t="n"/>
      <c r="P16" s="52" t="n"/>
      <c r="Q16" s="53" t="n"/>
      <c r="R16" s="52" t="n"/>
      <c r="S16" s="53" t="n"/>
      <c r="T16" s="52" t="n"/>
      <c r="U16" s="53" t="n"/>
      <c r="V16" s="54" t="n"/>
      <c r="W16" s="55" t="n"/>
      <c r="X16" s="54" t="n"/>
      <c r="Y16" s="55" t="n"/>
      <c r="Z16" s="52" t="n"/>
      <c r="AA16" s="53" t="n"/>
      <c r="AB16" s="52" t="n"/>
      <c r="AC16" s="53" t="n"/>
      <c r="AD16" s="52" t="n"/>
      <c r="AE16" s="53" t="n"/>
      <c r="AF16" s="52" t="n"/>
      <c r="AG16" s="53" t="n"/>
      <c r="AH16" s="52" t="n"/>
      <c r="AI16" s="53" t="n"/>
      <c r="AJ16" s="54" t="n"/>
      <c r="AK16" s="55" t="n"/>
      <c r="AL16" s="54" t="n"/>
      <c r="AM16" s="55" t="n"/>
      <c r="AN16" s="52" t="n"/>
      <c r="AO16" s="53" t="n"/>
      <c r="AP16" s="52" t="n"/>
      <c r="AQ16" s="53" t="n"/>
      <c r="AR16" s="52" t="n"/>
      <c r="AS16" s="53" t="n"/>
      <c r="AT16" s="52" t="n"/>
      <c r="AU16" s="53" t="n"/>
      <c r="AV16" s="52" t="n"/>
      <c r="AW16" s="53" t="n"/>
      <c r="AX16" s="54" t="n"/>
      <c r="AY16" s="55" t="n"/>
      <c r="AZ16" s="54" t="n"/>
      <c r="BA16" s="55" t="n"/>
      <c r="BB16" s="52" t="n"/>
      <c r="BC16" s="53" t="n"/>
      <c r="BD16" s="52" t="n"/>
      <c r="BE16" s="53" t="n"/>
      <c r="BF16" s="52" t="n"/>
      <c r="BG16" s="53" t="n"/>
      <c r="BH16" s="52" t="n"/>
      <c r="BI16" s="53" t="n"/>
      <c r="BJ16" s="52" t="n"/>
      <c r="BK16" s="53" t="n"/>
      <c r="BL16" s="54" t="n"/>
      <c r="BM16" s="55" t="n"/>
      <c r="BN16" s="56">
        <f>IF($A16="","",COUNTIF(D16:BM16,"+"))</f>
        <v/>
      </c>
      <c r="BO16" s="57">
        <f>IF($A16="","",COUNTIF(D16:BM16,"x"))</f>
        <v/>
      </c>
      <c r="BP16" s="57">
        <f>IF($A16="","",COUNTIF(D16:BM16,"-"))</f>
        <v/>
      </c>
      <c r="BQ16" s="58">
        <f>IF($A16="","",BN16+BO16*0.5)</f>
        <v/>
      </c>
      <c r="BR16" s="58">
        <f>IF($A16="","",SUM(E16,G16,I16,K16,M16,O16,Q16,S16,U16,W16,Y16,AA16,AC16,AE16,AG16,AI16,AK16,AM16,AO16,AQ16,AS16,AU16,AW16,AY16,BA16,BC16,BE16,BG16,BI16,BK16,BM16))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9" t="n"/>
      <c r="G17" s="60" t="n"/>
      <c r="H17" s="54" t="n"/>
      <c r="I17" s="55" t="n"/>
      <c r="J17" s="54" t="n"/>
      <c r="K17" s="55" t="n"/>
      <c r="L17" s="59" t="n"/>
      <c r="M17" s="60" t="n"/>
      <c r="N17" s="59" t="n"/>
      <c r="O17" s="60" t="n"/>
      <c r="P17" s="59" t="n"/>
      <c r="Q17" s="60" t="n"/>
      <c r="R17" s="59" t="n"/>
      <c r="S17" s="60" t="n"/>
      <c r="T17" s="59" t="n"/>
      <c r="U17" s="60" t="n"/>
      <c r="V17" s="54" t="n"/>
      <c r="W17" s="55" t="n"/>
      <c r="X17" s="54" t="n"/>
      <c r="Y17" s="55" t="n"/>
      <c r="Z17" s="59" t="n"/>
      <c r="AA17" s="60" t="n"/>
      <c r="AB17" s="59" t="n"/>
      <c r="AC17" s="60" t="n"/>
      <c r="AD17" s="59" t="n"/>
      <c r="AE17" s="60" t="n"/>
      <c r="AF17" s="59" t="n"/>
      <c r="AG17" s="60" t="n"/>
      <c r="AH17" s="59" t="n"/>
      <c r="AI17" s="60" t="n"/>
      <c r="AJ17" s="54" t="n"/>
      <c r="AK17" s="55" t="n"/>
      <c r="AL17" s="54" t="n"/>
      <c r="AM17" s="55" t="n"/>
      <c r="AN17" s="59" t="n"/>
      <c r="AO17" s="60" t="n"/>
      <c r="AP17" s="59" t="n"/>
      <c r="AQ17" s="60" t="n"/>
      <c r="AR17" s="59" t="n"/>
      <c r="AS17" s="60" t="n"/>
      <c r="AT17" s="59" t="n"/>
      <c r="AU17" s="60" t="n"/>
      <c r="AV17" s="59" t="n"/>
      <c r="AW17" s="60" t="n"/>
      <c r="AX17" s="54" t="n"/>
      <c r="AY17" s="55" t="n"/>
      <c r="AZ17" s="54" t="n"/>
      <c r="BA17" s="55" t="n"/>
      <c r="BB17" s="59" t="n"/>
      <c r="BC17" s="60" t="n"/>
      <c r="BD17" s="59" t="n"/>
      <c r="BE17" s="60" t="n"/>
      <c r="BF17" s="59" t="n"/>
      <c r="BG17" s="60" t="n"/>
      <c r="BH17" s="59" t="n"/>
      <c r="BI17" s="60" t="n"/>
      <c r="BJ17" s="59" t="n"/>
      <c r="BK17" s="60" t="n"/>
      <c r="BL17" s="54" t="n"/>
      <c r="BM17" s="55" t="n"/>
      <c r="BN17" s="56">
        <f>IF($A17="","",COUNTIF(D17:BM17,"+"))</f>
        <v/>
      </c>
      <c r="BO17" s="57">
        <f>IF($A17="","",COUNTIF(D17:BM17,"x"))</f>
        <v/>
      </c>
      <c r="BP17" s="57">
        <f>IF($A17="","",COUNTIF(D17:BM17,"-"))</f>
        <v/>
      </c>
      <c r="BQ17" s="58">
        <f>IF($A17="","",BN17+BO17*0.5)</f>
        <v/>
      </c>
      <c r="BR17" s="58">
        <f>IF($A17="","",SUM(E17,G17,I17,K17,M17,O17,Q17,S17,U17,W17,Y17,AA17,AC17,AE17,AG17,AI17,AK17,AM17,AO17,AQ17,AS17,AU17,AW17,AY17,BA17,BC17,BE17,BG17,BI17,BK17,BM17))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2" t="n"/>
      <c r="G18" s="53" t="n"/>
      <c r="H18" s="54" t="n"/>
      <c r="I18" s="55" t="n"/>
      <c r="J18" s="54" t="n"/>
      <c r="K18" s="55" t="n"/>
      <c r="L18" s="52" t="n"/>
      <c r="M18" s="53" t="n"/>
      <c r="N18" s="52" t="n"/>
      <c r="O18" s="53" t="n"/>
      <c r="P18" s="52" t="n"/>
      <c r="Q18" s="53" t="n"/>
      <c r="R18" s="52" t="n"/>
      <c r="S18" s="53" t="n"/>
      <c r="T18" s="52" t="n"/>
      <c r="U18" s="53" t="n"/>
      <c r="V18" s="54" t="n"/>
      <c r="W18" s="55" t="n"/>
      <c r="X18" s="54" t="n"/>
      <c r="Y18" s="55" t="n"/>
      <c r="Z18" s="52" t="n"/>
      <c r="AA18" s="53" t="n"/>
      <c r="AB18" s="52" t="n"/>
      <c r="AC18" s="53" t="n"/>
      <c r="AD18" s="52" t="n"/>
      <c r="AE18" s="53" t="n"/>
      <c r="AF18" s="52" t="n"/>
      <c r="AG18" s="53" t="n"/>
      <c r="AH18" s="52" t="n"/>
      <c r="AI18" s="53" t="n"/>
      <c r="AJ18" s="54" t="n"/>
      <c r="AK18" s="55" t="n"/>
      <c r="AL18" s="54" t="n"/>
      <c r="AM18" s="55" t="n"/>
      <c r="AN18" s="52" t="n"/>
      <c r="AO18" s="53" t="n"/>
      <c r="AP18" s="52" t="n"/>
      <c r="AQ18" s="53" t="n"/>
      <c r="AR18" s="52" t="n"/>
      <c r="AS18" s="53" t="n"/>
      <c r="AT18" s="52" t="n"/>
      <c r="AU18" s="53" t="n"/>
      <c r="AV18" s="52" t="n"/>
      <c r="AW18" s="53" t="n"/>
      <c r="AX18" s="54" t="n"/>
      <c r="AY18" s="55" t="n"/>
      <c r="AZ18" s="54" t="n"/>
      <c r="BA18" s="55" t="n"/>
      <c r="BB18" s="52" t="n"/>
      <c r="BC18" s="53" t="n"/>
      <c r="BD18" s="52" t="n"/>
      <c r="BE18" s="53" t="n"/>
      <c r="BF18" s="52" t="n"/>
      <c r="BG18" s="53" t="n"/>
      <c r="BH18" s="52" t="n"/>
      <c r="BI18" s="53" t="n"/>
      <c r="BJ18" s="52" t="n"/>
      <c r="BK18" s="53" t="n"/>
      <c r="BL18" s="54" t="n"/>
      <c r="BM18" s="55" t="n"/>
      <c r="BN18" s="56">
        <f>IF($A18="","",COUNTIF(D18:BM18,"+"))</f>
        <v/>
      </c>
      <c r="BO18" s="57">
        <f>IF($A18="","",COUNTIF(D18:BM18,"x"))</f>
        <v/>
      </c>
      <c r="BP18" s="57">
        <f>IF($A18="","",COUNTIF(D18:BM18,"-"))</f>
        <v/>
      </c>
      <c r="BQ18" s="58">
        <f>IF($A18="","",BN18+BO18*0.5)</f>
        <v/>
      </c>
      <c r="BR18" s="58">
        <f>IF($A18="","",SUM(E18,G18,I18,K18,M18,O18,Q18,S18,U18,W18,Y18,AA18,AC18,AE18,AG18,AI18,AK18,AM18,AO18,AQ18,AS18,AU18,AW18,AY18,BA18,BC18,BE18,BG18,BI18,BK18,BM18))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9" t="n"/>
      <c r="G19" s="60" t="n"/>
      <c r="H19" s="54" t="n"/>
      <c r="I19" s="55" t="n"/>
      <c r="J19" s="54" t="n"/>
      <c r="K19" s="55" t="n"/>
      <c r="L19" s="59" t="n"/>
      <c r="M19" s="60" t="n"/>
      <c r="N19" s="59" t="n"/>
      <c r="O19" s="60" t="n"/>
      <c r="P19" s="59" t="n"/>
      <c r="Q19" s="60" t="n"/>
      <c r="R19" s="59" t="n"/>
      <c r="S19" s="60" t="n"/>
      <c r="T19" s="59" t="n"/>
      <c r="U19" s="60" t="n"/>
      <c r="V19" s="54" t="n"/>
      <c r="W19" s="55" t="n"/>
      <c r="X19" s="54" t="n"/>
      <c r="Y19" s="55" t="n"/>
      <c r="Z19" s="59" t="n"/>
      <c r="AA19" s="60" t="n"/>
      <c r="AB19" s="59" t="n"/>
      <c r="AC19" s="60" t="n"/>
      <c r="AD19" s="59" t="n"/>
      <c r="AE19" s="60" t="n"/>
      <c r="AF19" s="59" t="n"/>
      <c r="AG19" s="60" t="n"/>
      <c r="AH19" s="59" t="n"/>
      <c r="AI19" s="60" t="n"/>
      <c r="AJ19" s="54" t="n"/>
      <c r="AK19" s="55" t="n"/>
      <c r="AL19" s="54" t="n"/>
      <c r="AM19" s="55" t="n"/>
      <c r="AN19" s="59" t="n"/>
      <c r="AO19" s="60" t="n"/>
      <c r="AP19" s="59" t="n"/>
      <c r="AQ19" s="60" t="n"/>
      <c r="AR19" s="59" t="n"/>
      <c r="AS19" s="60" t="n"/>
      <c r="AT19" s="59" t="n"/>
      <c r="AU19" s="60" t="n"/>
      <c r="AV19" s="59" t="n"/>
      <c r="AW19" s="60" t="n"/>
      <c r="AX19" s="54" t="n"/>
      <c r="AY19" s="55" t="n"/>
      <c r="AZ19" s="54" t="n"/>
      <c r="BA19" s="55" t="n"/>
      <c r="BB19" s="59" t="n"/>
      <c r="BC19" s="60" t="n"/>
      <c r="BD19" s="59" t="n"/>
      <c r="BE19" s="60" t="n"/>
      <c r="BF19" s="59" t="n"/>
      <c r="BG19" s="60" t="n"/>
      <c r="BH19" s="59" t="n"/>
      <c r="BI19" s="60" t="n"/>
      <c r="BJ19" s="59" t="n"/>
      <c r="BK19" s="60" t="n"/>
      <c r="BL19" s="54" t="n"/>
      <c r="BM19" s="55" t="n"/>
      <c r="BN19" s="56">
        <f>IF($A19="","",COUNTIF(D19:BM19,"+"))</f>
        <v/>
      </c>
      <c r="BO19" s="57">
        <f>IF($A19="","",COUNTIF(D19:BM19,"x"))</f>
        <v/>
      </c>
      <c r="BP19" s="57">
        <f>IF($A19="","",COUNTIF(D19:BM19,"-"))</f>
        <v/>
      </c>
      <c r="BQ19" s="58">
        <f>IF($A19="","",BN19+BO19*0.5)</f>
        <v/>
      </c>
      <c r="BR19" s="58">
        <f>IF($A19="","",SUM(E19,G19,I19,K19,M19,O19,Q19,S19,U19,W19,Y19,AA19,AC19,AE19,AG19,AI19,AK19,AM19,AO19,AQ19,AS19,AU19,AW19,AY19,BA19,BC19,BE19,BG19,BI19,BK19,BM19))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2" t="n"/>
      <c r="G20" s="53" t="n"/>
      <c r="H20" s="54" t="n"/>
      <c r="I20" s="55" t="n"/>
      <c r="J20" s="54" t="n"/>
      <c r="K20" s="55" t="n"/>
      <c r="L20" s="52" t="n"/>
      <c r="M20" s="53" t="n"/>
      <c r="N20" s="52" t="n"/>
      <c r="O20" s="53" t="n"/>
      <c r="P20" s="52" t="n"/>
      <c r="Q20" s="53" t="n"/>
      <c r="R20" s="52" t="n"/>
      <c r="S20" s="53" t="n"/>
      <c r="T20" s="52" t="n"/>
      <c r="U20" s="53" t="n"/>
      <c r="V20" s="54" t="n"/>
      <c r="W20" s="55" t="n"/>
      <c r="X20" s="54" t="n"/>
      <c r="Y20" s="55" t="n"/>
      <c r="Z20" s="52" t="n"/>
      <c r="AA20" s="53" t="n"/>
      <c r="AB20" s="52" t="n"/>
      <c r="AC20" s="53" t="n"/>
      <c r="AD20" s="52" t="n"/>
      <c r="AE20" s="53" t="n"/>
      <c r="AF20" s="52" t="n"/>
      <c r="AG20" s="53" t="n"/>
      <c r="AH20" s="52" t="n"/>
      <c r="AI20" s="53" t="n"/>
      <c r="AJ20" s="54" t="n"/>
      <c r="AK20" s="55" t="n"/>
      <c r="AL20" s="54" t="n"/>
      <c r="AM20" s="55" t="n"/>
      <c r="AN20" s="52" t="n"/>
      <c r="AO20" s="53" t="n"/>
      <c r="AP20" s="52" t="n"/>
      <c r="AQ20" s="53" t="n"/>
      <c r="AR20" s="52" t="n"/>
      <c r="AS20" s="53" t="n"/>
      <c r="AT20" s="52" t="n"/>
      <c r="AU20" s="53" t="n"/>
      <c r="AV20" s="52" t="n"/>
      <c r="AW20" s="53" t="n"/>
      <c r="AX20" s="54" t="n"/>
      <c r="AY20" s="55" t="n"/>
      <c r="AZ20" s="54" t="n"/>
      <c r="BA20" s="55" t="n"/>
      <c r="BB20" s="52" t="n"/>
      <c r="BC20" s="53" t="n"/>
      <c r="BD20" s="52" t="n"/>
      <c r="BE20" s="53" t="n"/>
      <c r="BF20" s="52" t="n"/>
      <c r="BG20" s="53" t="n"/>
      <c r="BH20" s="52" t="n"/>
      <c r="BI20" s="53" t="n"/>
      <c r="BJ20" s="52" t="n"/>
      <c r="BK20" s="53" t="n"/>
      <c r="BL20" s="54" t="n"/>
      <c r="BM20" s="55" t="n"/>
      <c r="BN20" s="56">
        <f>IF($A20="","",COUNTIF(D20:BM20,"+"))</f>
        <v/>
      </c>
      <c r="BO20" s="57">
        <f>IF($A20="","",COUNTIF(D20:BM20,"x"))</f>
        <v/>
      </c>
      <c r="BP20" s="57">
        <f>IF($A20="","",COUNTIF(D20:BM20,"-"))</f>
        <v/>
      </c>
      <c r="BQ20" s="58">
        <f>IF($A20="","",BN20+BO20*0.5)</f>
        <v/>
      </c>
      <c r="BR20" s="58">
        <f>IF($A20="","",SUM(E20,G20,I20,K20,M20,O20,Q20,S20,U20,W20,Y20,AA20,AC20,AE20,AG20,AI20,AK20,AM20,AO20,AQ20,AS20,AU20,AW20,AY20,BA20,BC20,BE20,BG20,BI20,BK20,BM20))</f>
        <v/>
      </c>
    </row>
  </sheetData>
  <mergeCells count="44">
    <mergeCell ref="F4:G4"/>
    <mergeCell ref="P4:Q4"/>
    <mergeCell ref="AX4:AY4"/>
    <mergeCell ref="BH4:BI4"/>
    <mergeCell ref="C4:C5"/>
    <mergeCell ref="BJ4:BK4"/>
    <mergeCell ref="BP4:BP5"/>
    <mergeCell ref="H4:I4"/>
    <mergeCell ref="BQ4:BQ5"/>
    <mergeCell ref="R4:S4"/>
    <mergeCell ref="A2:C2"/>
    <mergeCell ref="AB4:AC4"/>
    <mergeCell ref="T4:U4"/>
    <mergeCell ref="AF4:AG4"/>
    <mergeCell ref="V4:W4"/>
    <mergeCell ref="AH4:AI4"/>
    <mergeCell ref="AN4:AO4"/>
    <mergeCell ref="BN4:BN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R4:BR5"/>
    <mergeCell ref="D4:E4"/>
    <mergeCell ref="N2:Q2"/>
    <mergeCell ref="D2:G2"/>
    <mergeCell ref="BO4:BO5"/>
    <mergeCell ref="X4:Y4"/>
    <mergeCell ref="AJ4:AK4"/>
    <mergeCell ref="Z4:AA4"/>
    <mergeCell ref="B4:B5"/>
    <mergeCell ref="AL4:AM4"/>
    <mergeCell ref="A1:BR1"/>
    <mergeCell ref="AD4:AE4"/>
    <mergeCell ref="AP4:AQ4"/>
    <mergeCell ref="N4:O4"/>
  </mergeCells>
  <conditionalFormatting sqref="D6:BM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 BL6:BL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 BM6:BM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P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9" customWidth="1" min="64" max="64"/>
    <col width="9" customWidth="1" min="65" max="65"/>
    <col width="9" customWidth="1" min="66" max="66"/>
    <col width="11" customWidth="1" min="67" max="67"/>
    <col width="11" customWidth="1" min="68" max="68"/>
  </cols>
  <sheetData>
    <row r="1" ht="32" customHeight="1">
      <c r="A1" s="1" t="inlineStr">
        <is>
          <t>KASIM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20" customHeight="1">
      <c r="A2" s="25" t="inlineStr">
        <is>
          <t>Takvim gün sayısı: 30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49" t="inlineStr">
        <is>
          <t>1
Paz</t>
        </is>
      </c>
      <c r="E4" s="49" t="n"/>
      <c r="F4" s="23" t="inlineStr">
        <is>
          <t>2
Pzt</t>
        </is>
      </c>
      <c r="G4" s="23" t="n"/>
      <c r="H4" s="23" t="inlineStr">
        <is>
          <t>3
Sal</t>
        </is>
      </c>
      <c r="I4" s="23" t="n"/>
      <c r="J4" s="23" t="inlineStr">
        <is>
          <t>4
Çar</t>
        </is>
      </c>
      <c r="K4" s="23" t="n"/>
      <c r="L4" s="23" t="inlineStr">
        <is>
          <t>5
Per</t>
        </is>
      </c>
      <c r="M4" s="23" t="n"/>
      <c r="N4" s="23" t="inlineStr">
        <is>
          <t>6
Cum</t>
        </is>
      </c>
      <c r="O4" s="23" t="n"/>
      <c r="P4" s="49" t="inlineStr">
        <is>
          <t>7
Cmt</t>
        </is>
      </c>
      <c r="Q4" s="49" t="n"/>
      <c r="R4" s="49" t="inlineStr">
        <is>
          <t>8
Paz</t>
        </is>
      </c>
      <c r="S4" s="49" t="n"/>
      <c r="T4" s="23" t="inlineStr">
        <is>
          <t>9
Pzt</t>
        </is>
      </c>
      <c r="U4" s="23" t="n"/>
      <c r="V4" s="23" t="inlineStr">
        <is>
          <t>10
Sal</t>
        </is>
      </c>
      <c r="W4" s="23" t="n"/>
      <c r="X4" s="23" t="inlineStr">
        <is>
          <t>11
Çar</t>
        </is>
      </c>
      <c r="Y4" s="23" t="n"/>
      <c r="Z4" s="23" t="inlineStr">
        <is>
          <t>12
Per</t>
        </is>
      </c>
      <c r="AA4" s="23" t="n"/>
      <c r="AB4" s="23" t="inlineStr">
        <is>
          <t>13
Cum</t>
        </is>
      </c>
      <c r="AC4" s="23" t="n"/>
      <c r="AD4" s="49" t="inlineStr">
        <is>
          <t>14
Cmt</t>
        </is>
      </c>
      <c r="AE4" s="49" t="n"/>
      <c r="AF4" s="49" t="inlineStr">
        <is>
          <t>15
Paz</t>
        </is>
      </c>
      <c r="AG4" s="49" t="n"/>
      <c r="AH4" s="23" t="inlineStr">
        <is>
          <t>16
Pzt</t>
        </is>
      </c>
      <c r="AI4" s="23" t="n"/>
      <c r="AJ4" s="23" t="inlineStr">
        <is>
          <t>17
Sal</t>
        </is>
      </c>
      <c r="AK4" s="23" t="n"/>
      <c r="AL4" s="23" t="inlineStr">
        <is>
          <t>18
Çar</t>
        </is>
      </c>
      <c r="AM4" s="23" t="n"/>
      <c r="AN4" s="23" t="inlineStr">
        <is>
          <t>19
Per</t>
        </is>
      </c>
      <c r="AO4" s="23" t="n"/>
      <c r="AP4" s="23" t="inlineStr">
        <is>
          <t>20
Cum</t>
        </is>
      </c>
      <c r="AQ4" s="23" t="n"/>
      <c r="AR4" s="49" t="inlineStr">
        <is>
          <t>21
Cmt</t>
        </is>
      </c>
      <c r="AS4" s="49" t="n"/>
      <c r="AT4" s="49" t="inlineStr">
        <is>
          <t>22
Paz</t>
        </is>
      </c>
      <c r="AU4" s="49" t="n"/>
      <c r="AV4" s="23" t="inlineStr">
        <is>
          <t>23
Pzt</t>
        </is>
      </c>
      <c r="AW4" s="23" t="n"/>
      <c r="AX4" s="23" t="inlineStr">
        <is>
          <t>24
Sal</t>
        </is>
      </c>
      <c r="AY4" s="23" t="n"/>
      <c r="AZ4" s="23" t="inlineStr">
        <is>
          <t>25
Çar</t>
        </is>
      </c>
      <c r="BA4" s="23" t="n"/>
      <c r="BB4" s="23" t="inlineStr">
        <is>
          <t>26
Per</t>
        </is>
      </c>
      <c r="BC4" s="23" t="n"/>
      <c r="BD4" s="23" t="inlineStr">
        <is>
          <t>27
Cum</t>
        </is>
      </c>
      <c r="BE4" s="23" t="n"/>
      <c r="BF4" s="49" t="inlineStr">
        <is>
          <t>28
Cmt</t>
        </is>
      </c>
      <c r="BG4" s="49" t="n"/>
      <c r="BH4" s="49" t="inlineStr">
        <is>
          <t>29
Paz</t>
        </is>
      </c>
      <c r="BI4" s="49" t="n"/>
      <c r="BJ4" s="23" t="inlineStr">
        <is>
          <t>30
Pzt</t>
        </is>
      </c>
      <c r="BK4" s="23" t="n"/>
      <c r="BL4" s="50" t="inlineStr">
        <is>
          <t>Tam Gün
(+)</t>
        </is>
      </c>
      <c r="BM4" s="10" t="inlineStr">
        <is>
          <t>Yarım Gün
(x)</t>
        </is>
      </c>
      <c r="BN4" s="10" t="inlineStr">
        <is>
          <t>Gelmediği
Gün (-)</t>
        </is>
      </c>
      <c r="BO4" s="10" t="inlineStr">
        <is>
          <t>Fiili
Çalışılan Gün</t>
        </is>
      </c>
      <c r="BP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0" t="n"/>
      <c r="BM5" s="10" t="n"/>
      <c r="BN5" s="10" t="n"/>
      <c r="BO5" s="10" t="n"/>
      <c r="BP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4" t="n"/>
      <c r="E6" s="55" t="n"/>
      <c r="F6" s="52" t="n"/>
      <c r="G6" s="53" t="n"/>
      <c r="H6" s="52" t="n"/>
      <c r="I6" s="53" t="n"/>
      <c r="J6" s="52" t="n"/>
      <c r="K6" s="53" t="n"/>
      <c r="L6" s="52" t="n"/>
      <c r="M6" s="53" t="n"/>
      <c r="N6" s="52" t="n"/>
      <c r="O6" s="53" t="n"/>
      <c r="P6" s="54" t="n"/>
      <c r="Q6" s="55" t="n"/>
      <c r="R6" s="54" t="n"/>
      <c r="S6" s="55" t="n"/>
      <c r="T6" s="52" t="n"/>
      <c r="U6" s="53" t="n"/>
      <c r="V6" s="52" t="n"/>
      <c r="W6" s="53" t="n"/>
      <c r="X6" s="52" t="n"/>
      <c r="Y6" s="53" t="n"/>
      <c r="Z6" s="52" t="n"/>
      <c r="AA6" s="53" t="n"/>
      <c r="AB6" s="52" t="n"/>
      <c r="AC6" s="53" t="n"/>
      <c r="AD6" s="54" t="n"/>
      <c r="AE6" s="55" t="n"/>
      <c r="AF6" s="54" t="n"/>
      <c r="AG6" s="55" t="n"/>
      <c r="AH6" s="52" t="n"/>
      <c r="AI6" s="53" t="n"/>
      <c r="AJ6" s="52" t="n"/>
      <c r="AK6" s="53" t="n"/>
      <c r="AL6" s="52" t="n"/>
      <c r="AM6" s="53" t="n"/>
      <c r="AN6" s="52" t="n"/>
      <c r="AO6" s="53" t="n"/>
      <c r="AP6" s="52" t="n"/>
      <c r="AQ6" s="53" t="n"/>
      <c r="AR6" s="54" t="n"/>
      <c r="AS6" s="55" t="n"/>
      <c r="AT6" s="54" t="n"/>
      <c r="AU6" s="55" t="n"/>
      <c r="AV6" s="52" t="n"/>
      <c r="AW6" s="53" t="n"/>
      <c r="AX6" s="52" t="n"/>
      <c r="AY6" s="53" t="n"/>
      <c r="AZ6" s="52" t="n"/>
      <c r="BA6" s="53" t="n"/>
      <c r="BB6" s="52" t="n"/>
      <c r="BC6" s="53" t="n"/>
      <c r="BD6" s="52" t="n"/>
      <c r="BE6" s="53" t="n"/>
      <c r="BF6" s="54" t="n"/>
      <c r="BG6" s="55" t="n"/>
      <c r="BH6" s="54" t="n"/>
      <c r="BI6" s="55" t="n"/>
      <c r="BJ6" s="52" t="n"/>
      <c r="BK6" s="53" t="n"/>
      <c r="BL6" s="56">
        <f>IF($A6="","",COUNTIF(D6:BK6,"+"))</f>
        <v/>
      </c>
      <c r="BM6" s="57">
        <f>IF($A6="","",COUNTIF(D6:BK6,"x"))</f>
        <v/>
      </c>
      <c r="BN6" s="57">
        <f>IF($A6="","",COUNTIF(D6:BK6,"-"))</f>
        <v/>
      </c>
      <c r="BO6" s="58">
        <f>IF($A6="","",BL6+BM6*0.5)</f>
        <v/>
      </c>
      <c r="BP6" s="58">
        <f>IF($A6="","",SUM(E6,G6,I6,K6,M6,O6,Q6,S6,U6,W6,Y6,AA6,AC6,AE6,AG6,AI6,AK6,AM6,AO6,AQ6,AS6,AU6,AW6,AY6,BA6,BC6,BE6,BG6,BI6,BK6))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4" t="n"/>
      <c r="E7" s="55" t="n"/>
      <c r="F7" s="59" t="n"/>
      <c r="G7" s="60" t="n"/>
      <c r="H7" s="59" t="n"/>
      <c r="I7" s="60" t="n"/>
      <c r="J7" s="59" t="n"/>
      <c r="K7" s="60" t="n"/>
      <c r="L7" s="59" t="n"/>
      <c r="M7" s="60" t="n"/>
      <c r="N7" s="59" t="n"/>
      <c r="O7" s="60" t="n"/>
      <c r="P7" s="54" t="n"/>
      <c r="Q7" s="55" t="n"/>
      <c r="R7" s="54" t="n"/>
      <c r="S7" s="55" t="n"/>
      <c r="T7" s="59" t="n"/>
      <c r="U7" s="60" t="n"/>
      <c r="V7" s="59" t="n"/>
      <c r="W7" s="60" t="n"/>
      <c r="X7" s="59" t="n"/>
      <c r="Y7" s="60" t="n"/>
      <c r="Z7" s="59" t="n"/>
      <c r="AA7" s="60" t="n"/>
      <c r="AB7" s="59" t="n"/>
      <c r="AC7" s="60" t="n"/>
      <c r="AD7" s="54" t="n"/>
      <c r="AE7" s="55" t="n"/>
      <c r="AF7" s="54" t="n"/>
      <c r="AG7" s="55" t="n"/>
      <c r="AH7" s="59" t="n"/>
      <c r="AI7" s="60" t="n"/>
      <c r="AJ7" s="59" t="n"/>
      <c r="AK7" s="60" t="n"/>
      <c r="AL7" s="59" t="n"/>
      <c r="AM7" s="60" t="n"/>
      <c r="AN7" s="59" t="n"/>
      <c r="AO7" s="60" t="n"/>
      <c r="AP7" s="59" t="n"/>
      <c r="AQ7" s="60" t="n"/>
      <c r="AR7" s="54" t="n"/>
      <c r="AS7" s="55" t="n"/>
      <c r="AT7" s="54" t="n"/>
      <c r="AU7" s="55" t="n"/>
      <c r="AV7" s="59" t="n"/>
      <c r="AW7" s="60" t="n"/>
      <c r="AX7" s="59" t="n"/>
      <c r="AY7" s="60" t="n"/>
      <c r="AZ7" s="59" t="n"/>
      <c r="BA7" s="60" t="n"/>
      <c r="BB7" s="59" t="n"/>
      <c r="BC7" s="60" t="n"/>
      <c r="BD7" s="59" t="n"/>
      <c r="BE7" s="60" t="n"/>
      <c r="BF7" s="54" t="n"/>
      <c r="BG7" s="55" t="n"/>
      <c r="BH7" s="54" t="n"/>
      <c r="BI7" s="55" t="n"/>
      <c r="BJ7" s="59" t="n"/>
      <c r="BK7" s="60" t="n"/>
      <c r="BL7" s="56">
        <f>IF($A7="","",COUNTIF(D7:BK7,"+"))</f>
        <v/>
      </c>
      <c r="BM7" s="57">
        <f>IF($A7="","",COUNTIF(D7:BK7,"x"))</f>
        <v/>
      </c>
      <c r="BN7" s="57">
        <f>IF($A7="","",COUNTIF(D7:BK7,"-"))</f>
        <v/>
      </c>
      <c r="BO7" s="58">
        <f>IF($A7="","",BL7+BM7*0.5)</f>
        <v/>
      </c>
      <c r="BP7" s="58">
        <f>IF($A7="","",SUM(E7,G7,I7,K7,M7,O7,Q7,S7,U7,W7,Y7,AA7,AC7,AE7,AG7,AI7,AK7,AM7,AO7,AQ7,AS7,AU7,AW7,AY7,BA7,BC7,BE7,BG7,BI7,BK7))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4" t="n"/>
      <c r="E8" s="55" t="n"/>
      <c r="F8" s="52" t="n"/>
      <c r="G8" s="53" t="n"/>
      <c r="H8" s="52" t="n"/>
      <c r="I8" s="53" t="n"/>
      <c r="J8" s="52" t="n"/>
      <c r="K8" s="53" t="n"/>
      <c r="L8" s="52" t="n"/>
      <c r="M8" s="53" t="n"/>
      <c r="N8" s="52" t="n"/>
      <c r="O8" s="53" t="n"/>
      <c r="P8" s="54" t="n"/>
      <c r="Q8" s="55" t="n"/>
      <c r="R8" s="54" t="n"/>
      <c r="S8" s="55" t="n"/>
      <c r="T8" s="52" t="n"/>
      <c r="U8" s="53" t="n"/>
      <c r="V8" s="52" t="n"/>
      <c r="W8" s="53" t="n"/>
      <c r="X8" s="52" t="n"/>
      <c r="Y8" s="53" t="n"/>
      <c r="Z8" s="52" t="n"/>
      <c r="AA8" s="53" t="n"/>
      <c r="AB8" s="52" t="n"/>
      <c r="AC8" s="53" t="n"/>
      <c r="AD8" s="54" t="n"/>
      <c r="AE8" s="55" t="n"/>
      <c r="AF8" s="54" t="n"/>
      <c r="AG8" s="55" t="n"/>
      <c r="AH8" s="52" t="n"/>
      <c r="AI8" s="53" t="n"/>
      <c r="AJ8" s="52" t="n"/>
      <c r="AK8" s="53" t="n"/>
      <c r="AL8" s="52" t="n"/>
      <c r="AM8" s="53" t="n"/>
      <c r="AN8" s="52" t="n"/>
      <c r="AO8" s="53" t="n"/>
      <c r="AP8" s="52" t="n"/>
      <c r="AQ8" s="53" t="n"/>
      <c r="AR8" s="54" t="n"/>
      <c r="AS8" s="55" t="n"/>
      <c r="AT8" s="54" t="n"/>
      <c r="AU8" s="55" t="n"/>
      <c r="AV8" s="52" t="n"/>
      <c r="AW8" s="53" t="n"/>
      <c r="AX8" s="52" t="n"/>
      <c r="AY8" s="53" t="n"/>
      <c r="AZ8" s="52" t="n"/>
      <c r="BA8" s="53" t="n"/>
      <c r="BB8" s="52" t="n"/>
      <c r="BC8" s="53" t="n"/>
      <c r="BD8" s="52" t="n"/>
      <c r="BE8" s="53" t="n"/>
      <c r="BF8" s="54" t="n"/>
      <c r="BG8" s="55" t="n"/>
      <c r="BH8" s="54" t="n"/>
      <c r="BI8" s="55" t="n"/>
      <c r="BJ8" s="52" t="n"/>
      <c r="BK8" s="53" t="n"/>
      <c r="BL8" s="56">
        <f>IF($A8="","",COUNTIF(D8:BK8,"+"))</f>
        <v/>
      </c>
      <c r="BM8" s="57">
        <f>IF($A8="","",COUNTIF(D8:BK8,"x"))</f>
        <v/>
      </c>
      <c r="BN8" s="57">
        <f>IF($A8="","",COUNTIF(D8:BK8,"-"))</f>
        <v/>
      </c>
      <c r="BO8" s="58">
        <f>IF($A8="","",BL8+BM8*0.5)</f>
        <v/>
      </c>
      <c r="BP8" s="58">
        <f>IF($A8="","",SUM(E8,G8,I8,K8,M8,O8,Q8,S8,U8,W8,Y8,AA8,AC8,AE8,AG8,AI8,AK8,AM8,AO8,AQ8,AS8,AU8,AW8,AY8,BA8,BC8,BE8,BG8,BI8,BK8))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4" t="n"/>
      <c r="E9" s="55" t="n"/>
      <c r="F9" s="59" t="n"/>
      <c r="G9" s="60" t="n"/>
      <c r="H9" s="59" t="n"/>
      <c r="I9" s="60" t="n"/>
      <c r="J9" s="59" t="n"/>
      <c r="K9" s="60" t="n"/>
      <c r="L9" s="59" t="n"/>
      <c r="M9" s="60" t="n"/>
      <c r="N9" s="59" t="n"/>
      <c r="O9" s="60" t="n"/>
      <c r="P9" s="54" t="n"/>
      <c r="Q9" s="55" t="n"/>
      <c r="R9" s="54" t="n"/>
      <c r="S9" s="55" t="n"/>
      <c r="T9" s="59" t="n"/>
      <c r="U9" s="60" t="n"/>
      <c r="V9" s="59" t="n"/>
      <c r="W9" s="60" t="n"/>
      <c r="X9" s="59" t="n"/>
      <c r="Y9" s="60" t="n"/>
      <c r="Z9" s="59" t="n"/>
      <c r="AA9" s="60" t="n"/>
      <c r="AB9" s="59" t="n"/>
      <c r="AC9" s="60" t="n"/>
      <c r="AD9" s="54" t="n"/>
      <c r="AE9" s="55" t="n"/>
      <c r="AF9" s="54" t="n"/>
      <c r="AG9" s="55" t="n"/>
      <c r="AH9" s="59" t="n"/>
      <c r="AI9" s="60" t="n"/>
      <c r="AJ9" s="59" t="n"/>
      <c r="AK9" s="60" t="n"/>
      <c r="AL9" s="59" t="n"/>
      <c r="AM9" s="60" t="n"/>
      <c r="AN9" s="59" t="n"/>
      <c r="AO9" s="60" t="n"/>
      <c r="AP9" s="59" t="n"/>
      <c r="AQ9" s="60" t="n"/>
      <c r="AR9" s="54" t="n"/>
      <c r="AS9" s="55" t="n"/>
      <c r="AT9" s="54" t="n"/>
      <c r="AU9" s="55" t="n"/>
      <c r="AV9" s="59" t="n"/>
      <c r="AW9" s="60" t="n"/>
      <c r="AX9" s="59" t="n"/>
      <c r="AY9" s="60" t="n"/>
      <c r="AZ9" s="59" t="n"/>
      <c r="BA9" s="60" t="n"/>
      <c r="BB9" s="59" t="n"/>
      <c r="BC9" s="60" t="n"/>
      <c r="BD9" s="59" t="n"/>
      <c r="BE9" s="60" t="n"/>
      <c r="BF9" s="54" t="n"/>
      <c r="BG9" s="55" t="n"/>
      <c r="BH9" s="54" t="n"/>
      <c r="BI9" s="55" t="n"/>
      <c r="BJ9" s="59" t="n"/>
      <c r="BK9" s="60" t="n"/>
      <c r="BL9" s="56">
        <f>IF($A9="","",COUNTIF(D9:BK9,"+"))</f>
        <v/>
      </c>
      <c r="BM9" s="57">
        <f>IF($A9="","",COUNTIF(D9:BK9,"x"))</f>
        <v/>
      </c>
      <c r="BN9" s="57">
        <f>IF($A9="","",COUNTIF(D9:BK9,"-"))</f>
        <v/>
      </c>
      <c r="BO9" s="58">
        <f>IF($A9="","",BL9+BM9*0.5)</f>
        <v/>
      </c>
      <c r="BP9" s="58">
        <f>IF($A9="","",SUM(E9,G9,I9,K9,M9,O9,Q9,S9,U9,W9,Y9,AA9,AC9,AE9,AG9,AI9,AK9,AM9,AO9,AQ9,AS9,AU9,AW9,AY9,BA9,BC9,BE9,BG9,BI9,BK9))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4" t="n"/>
      <c r="E10" s="55" t="n"/>
      <c r="F10" s="52" t="n"/>
      <c r="G10" s="53" t="n"/>
      <c r="H10" s="52" t="n"/>
      <c r="I10" s="53" t="n"/>
      <c r="J10" s="52" t="n"/>
      <c r="K10" s="53" t="n"/>
      <c r="L10" s="52" t="n"/>
      <c r="M10" s="53" t="n"/>
      <c r="N10" s="52" t="n"/>
      <c r="O10" s="53" t="n"/>
      <c r="P10" s="54" t="n"/>
      <c r="Q10" s="55" t="n"/>
      <c r="R10" s="54" t="n"/>
      <c r="S10" s="55" t="n"/>
      <c r="T10" s="52" t="n"/>
      <c r="U10" s="53" t="n"/>
      <c r="V10" s="52" t="n"/>
      <c r="W10" s="53" t="n"/>
      <c r="X10" s="52" t="n"/>
      <c r="Y10" s="53" t="n"/>
      <c r="Z10" s="52" t="n"/>
      <c r="AA10" s="53" t="n"/>
      <c r="AB10" s="52" t="n"/>
      <c r="AC10" s="53" t="n"/>
      <c r="AD10" s="54" t="n"/>
      <c r="AE10" s="55" t="n"/>
      <c r="AF10" s="54" t="n"/>
      <c r="AG10" s="55" t="n"/>
      <c r="AH10" s="52" t="n"/>
      <c r="AI10" s="53" t="n"/>
      <c r="AJ10" s="52" t="n"/>
      <c r="AK10" s="53" t="n"/>
      <c r="AL10" s="52" t="n"/>
      <c r="AM10" s="53" t="n"/>
      <c r="AN10" s="52" t="n"/>
      <c r="AO10" s="53" t="n"/>
      <c r="AP10" s="52" t="n"/>
      <c r="AQ10" s="53" t="n"/>
      <c r="AR10" s="54" t="n"/>
      <c r="AS10" s="55" t="n"/>
      <c r="AT10" s="54" t="n"/>
      <c r="AU10" s="55" t="n"/>
      <c r="AV10" s="52" t="n"/>
      <c r="AW10" s="53" t="n"/>
      <c r="AX10" s="52" t="n"/>
      <c r="AY10" s="53" t="n"/>
      <c r="AZ10" s="52" t="n"/>
      <c r="BA10" s="53" t="n"/>
      <c r="BB10" s="52" t="n"/>
      <c r="BC10" s="53" t="n"/>
      <c r="BD10" s="52" t="n"/>
      <c r="BE10" s="53" t="n"/>
      <c r="BF10" s="54" t="n"/>
      <c r="BG10" s="55" t="n"/>
      <c r="BH10" s="54" t="n"/>
      <c r="BI10" s="55" t="n"/>
      <c r="BJ10" s="52" t="n"/>
      <c r="BK10" s="53" t="n"/>
      <c r="BL10" s="56">
        <f>IF($A10="","",COUNTIF(D10:BK10,"+"))</f>
        <v/>
      </c>
      <c r="BM10" s="57">
        <f>IF($A10="","",COUNTIF(D10:BK10,"x"))</f>
        <v/>
      </c>
      <c r="BN10" s="57">
        <f>IF($A10="","",COUNTIF(D10:BK10,"-"))</f>
        <v/>
      </c>
      <c r="BO10" s="58">
        <f>IF($A10="","",BL10+BM10*0.5)</f>
        <v/>
      </c>
      <c r="BP10" s="58">
        <f>IF($A10="","",SUM(E10,G10,I10,K10,M10,O10,Q10,S10,U10,W10,Y10,AA10,AC10,AE10,AG10,AI10,AK10,AM10,AO10,AQ10,AS10,AU10,AW10,AY10,BA10,BC10,BE10,BG10,BI10,BK10))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4" t="n"/>
      <c r="E11" s="55" t="n"/>
      <c r="F11" s="59" t="n"/>
      <c r="G11" s="60" t="n"/>
      <c r="H11" s="59" t="n"/>
      <c r="I11" s="60" t="n"/>
      <c r="J11" s="59" t="n"/>
      <c r="K11" s="60" t="n"/>
      <c r="L11" s="59" t="n"/>
      <c r="M11" s="60" t="n"/>
      <c r="N11" s="59" t="n"/>
      <c r="O11" s="60" t="n"/>
      <c r="P11" s="54" t="n"/>
      <c r="Q11" s="55" t="n"/>
      <c r="R11" s="54" t="n"/>
      <c r="S11" s="55" t="n"/>
      <c r="T11" s="59" t="n"/>
      <c r="U11" s="60" t="n"/>
      <c r="V11" s="59" t="n"/>
      <c r="W11" s="60" t="n"/>
      <c r="X11" s="59" t="n"/>
      <c r="Y11" s="60" t="n"/>
      <c r="Z11" s="59" t="n"/>
      <c r="AA11" s="60" t="n"/>
      <c r="AB11" s="59" t="n"/>
      <c r="AC11" s="60" t="n"/>
      <c r="AD11" s="54" t="n"/>
      <c r="AE11" s="55" t="n"/>
      <c r="AF11" s="54" t="n"/>
      <c r="AG11" s="55" t="n"/>
      <c r="AH11" s="59" t="n"/>
      <c r="AI11" s="60" t="n"/>
      <c r="AJ11" s="59" t="n"/>
      <c r="AK11" s="60" t="n"/>
      <c r="AL11" s="59" t="n"/>
      <c r="AM11" s="60" t="n"/>
      <c r="AN11" s="59" t="n"/>
      <c r="AO11" s="60" t="n"/>
      <c r="AP11" s="59" t="n"/>
      <c r="AQ11" s="60" t="n"/>
      <c r="AR11" s="54" t="n"/>
      <c r="AS11" s="55" t="n"/>
      <c r="AT11" s="54" t="n"/>
      <c r="AU11" s="55" t="n"/>
      <c r="AV11" s="59" t="n"/>
      <c r="AW11" s="60" t="n"/>
      <c r="AX11" s="59" t="n"/>
      <c r="AY11" s="60" t="n"/>
      <c r="AZ11" s="59" t="n"/>
      <c r="BA11" s="60" t="n"/>
      <c r="BB11" s="59" t="n"/>
      <c r="BC11" s="60" t="n"/>
      <c r="BD11" s="59" t="n"/>
      <c r="BE11" s="60" t="n"/>
      <c r="BF11" s="54" t="n"/>
      <c r="BG11" s="55" t="n"/>
      <c r="BH11" s="54" t="n"/>
      <c r="BI11" s="55" t="n"/>
      <c r="BJ11" s="59" t="n"/>
      <c r="BK11" s="60" t="n"/>
      <c r="BL11" s="56">
        <f>IF($A11="","",COUNTIF(D11:BK11,"+"))</f>
        <v/>
      </c>
      <c r="BM11" s="57">
        <f>IF($A11="","",COUNTIF(D11:BK11,"x"))</f>
        <v/>
      </c>
      <c r="BN11" s="57">
        <f>IF($A11="","",COUNTIF(D11:BK11,"-"))</f>
        <v/>
      </c>
      <c r="BO11" s="58">
        <f>IF($A11="","",BL11+BM11*0.5)</f>
        <v/>
      </c>
      <c r="BP11" s="58">
        <f>IF($A11="","",SUM(E11,G11,I11,K11,M11,O11,Q11,S11,U11,W11,Y11,AA11,AC11,AE11,AG11,AI11,AK11,AM11,AO11,AQ11,AS11,AU11,AW11,AY11,BA11,BC11,BE11,BG11,BI11,BK11))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4" t="n"/>
      <c r="E12" s="55" t="n"/>
      <c r="F12" s="52" t="n"/>
      <c r="G12" s="53" t="n"/>
      <c r="H12" s="52" t="n"/>
      <c r="I12" s="53" t="n"/>
      <c r="J12" s="52" t="n"/>
      <c r="K12" s="53" t="n"/>
      <c r="L12" s="52" t="n"/>
      <c r="M12" s="53" t="n"/>
      <c r="N12" s="52" t="n"/>
      <c r="O12" s="53" t="n"/>
      <c r="P12" s="54" t="n"/>
      <c r="Q12" s="55" t="n"/>
      <c r="R12" s="54" t="n"/>
      <c r="S12" s="55" t="n"/>
      <c r="T12" s="52" t="n"/>
      <c r="U12" s="53" t="n"/>
      <c r="V12" s="52" t="n"/>
      <c r="W12" s="53" t="n"/>
      <c r="X12" s="52" t="n"/>
      <c r="Y12" s="53" t="n"/>
      <c r="Z12" s="52" t="n"/>
      <c r="AA12" s="53" t="n"/>
      <c r="AB12" s="52" t="n"/>
      <c r="AC12" s="53" t="n"/>
      <c r="AD12" s="54" t="n"/>
      <c r="AE12" s="55" t="n"/>
      <c r="AF12" s="54" t="n"/>
      <c r="AG12" s="55" t="n"/>
      <c r="AH12" s="52" t="n"/>
      <c r="AI12" s="53" t="n"/>
      <c r="AJ12" s="52" t="n"/>
      <c r="AK12" s="53" t="n"/>
      <c r="AL12" s="52" t="n"/>
      <c r="AM12" s="53" t="n"/>
      <c r="AN12" s="52" t="n"/>
      <c r="AO12" s="53" t="n"/>
      <c r="AP12" s="52" t="n"/>
      <c r="AQ12" s="53" t="n"/>
      <c r="AR12" s="54" t="n"/>
      <c r="AS12" s="55" t="n"/>
      <c r="AT12" s="54" t="n"/>
      <c r="AU12" s="55" t="n"/>
      <c r="AV12" s="52" t="n"/>
      <c r="AW12" s="53" t="n"/>
      <c r="AX12" s="52" t="n"/>
      <c r="AY12" s="53" t="n"/>
      <c r="AZ12" s="52" t="n"/>
      <c r="BA12" s="53" t="n"/>
      <c r="BB12" s="52" t="n"/>
      <c r="BC12" s="53" t="n"/>
      <c r="BD12" s="52" t="n"/>
      <c r="BE12" s="53" t="n"/>
      <c r="BF12" s="54" t="n"/>
      <c r="BG12" s="55" t="n"/>
      <c r="BH12" s="54" t="n"/>
      <c r="BI12" s="55" t="n"/>
      <c r="BJ12" s="52" t="n"/>
      <c r="BK12" s="53" t="n"/>
      <c r="BL12" s="56">
        <f>IF($A12="","",COUNTIF(D12:BK12,"+"))</f>
        <v/>
      </c>
      <c r="BM12" s="57">
        <f>IF($A12="","",COUNTIF(D12:BK12,"x"))</f>
        <v/>
      </c>
      <c r="BN12" s="57">
        <f>IF($A12="","",COUNTIF(D12:BK12,"-"))</f>
        <v/>
      </c>
      <c r="BO12" s="58">
        <f>IF($A12="","",BL12+BM12*0.5)</f>
        <v/>
      </c>
      <c r="BP12" s="58">
        <f>IF($A12="","",SUM(E12,G12,I12,K12,M12,O12,Q12,S12,U12,W12,Y12,AA12,AC12,AE12,AG12,AI12,AK12,AM12,AO12,AQ12,AS12,AU12,AW12,AY12,BA12,BC12,BE12,BG12,BI12,BK12))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4" t="n"/>
      <c r="E13" s="55" t="n"/>
      <c r="F13" s="59" t="n"/>
      <c r="G13" s="60" t="n"/>
      <c r="H13" s="59" t="n"/>
      <c r="I13" s="60" t="n"/>
      <c r="J13" s="59" t="n"/>
      <c r="K13" s="60" t="n"/>
      <c r="L13" s="59" t="n"/>
      <c r="M13" s="60" t="n"/>
      <c r="N13" s="59" t="n"/>
      <c r="O13" s="60" t="n"/>
      <c r="P13" s="54" t="n"/>
      <c r="Q13" s="55" t="n"/>
      <c r="R13" s="54" t="n"/>
      <c r="S13" s="55" t="n"/>
      <c r="T13" s="59" t="n"/>
      <c r="U13" s="60" t="n"/>
      <c r="V13" s="59" t="n"/>
      <c r="W13" s="60" t="n"/>
      <c r="X13" s="59" t="n"/>
      <c r="Y13" s="60" t="n"/>
      <c r="Z13" s="59" t="n"/>
      <c r="AA13" s="60" t="n"/>
      <c r="AB13" s="59" t="n"/>
      <c r="AC13" s="60" t="n"/>
      <c r="AD13" s="54" t="n"/>
      <c r="AE13" s="55" t="n"/>
      <c r="AF13" s="54" t="n"/>
      <c r="AG13" s="55" t="n"/>
      <c r="AH13" s="59" t="n"/>
      <c r="AI13" s="60" t="n"/>
      <c r="AJ13" s="59" t="n"/>
      <c r="AK13" s="60" t="n"/>
      <c r="AL13" s="59" t="n"/>
      <c r="AM13" s="60" t="n"/>
      <c r="AN13" s="59" t="n"/>
      <c r="AO13" s="60" t="n"/>
      <c r="AP13" s="59" t="n"/>
      <c r="AQ13" s="60" t="n"/>
      <c r="AR13" s="54" t="n"/>
      <c r="AS13" s="55" t="n"/>
      <c r="AT13" s="54" t="n"/>
      <c r="AU13" s="55" t="n"/>
      <c r="AV13" s="59" t="n"/>
      <c r="AW13" s="60" t="n"/>
      <c r="AX13" s="59" t="n"/>
      <c r="AY13" s="60" t="n"/>
      <c r="AZ13" s="59" t="n"/>
      <c r="BA13" s="60" t="n"/>
      <c r="BB13" s="59" t="n"/>
      <c r="BC13" s="60" t="n"/>
      <c r="BD13" s="59" t="n"/>
      <c r="BE13" s="60" t="n"/>
      <c r="BF13" s="54" t="n"/>
      <c r="BG13" s="55" t="n"/>
      <c r="BH13" s="54" t="n"/>
      <c r="BI13" s="55" t="n"/>
      <c r="BJ13" s="59" t="n"/>
      <c r="BK13" s="60" t="n"/>
      <c r="BL13" s="56">
        <f>IF($A13="","",COUNTIF(D13:BK13,"+"))</f>
        <v/>
      </c>
      <c r="BM13" s="57">
        <f>IF($A13="","",COUNTIF(D13:BK13,"x"))</f>
        <v/>
      </c>
      <c r="BN13" s="57">
        <f>IF($A13="","",COUNTIF(D13:BK13,"-"))</f>
        <v/>
      </c>
      <c r="BO13" s="58">
        <f>IF($A13="","",BL13+BM13*0.5)</f>
        <v/>
      </c>
      <c r="BP13" s="58">
        <f>IF($A13="","",SUM(E13,G13,I13,K13,M13,O13,Q13,S13,U13,W13,Y13,AA13,AC13,AE13,AG13,AI13,AK13,AM13,AO13,AQ13,AS13,AU13,AW13,AY13,BA13,BC13,BE13,BG13,BI13,BK13))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4" t="n"/>
      <c r="E14" s="55" t="n"/>
      <c r="F14" s="52" t="n"/>
      <c r="G14" s="53" t="n"/>
      <c r="H14" s="52" t="n"/>
      <c r="I14" s="53" t="n"/>
      <c r="J14" s="52" t="n"/>
      <c r="K14" s="53" t="n"/>
      <c r="L14" s="52" t="n"/>
      <c r="M14" s="53" t="n"/>
      <c r="N14" s="52" t="n"/>
      <c r="O14" s="53" t="n"/>
      <c r="P14" s="54" t="n"/>
      <c r="Q14" s="55" t="n"/>
      <c r="R14" s="54" t="n"/>
      <c r="S14" s="55" t="n"/>
      <c r="T14" s="52" t="n"/>
      <c r="U14" s="53" t="n"/>
      <c r="V14" s="52" t="n"/>
      <c r="W14" s="53" t="n"/>
      <c r="X14" s="52" t="n"/>
      <c r="Y14" s="53" t="n"/>
      <c r="Z14" s="52" t="n"/>
      <c r="AA14" s="53" t="n"/>
      <c r="AB14" s="52" t="n"/>
      <c r="AC14" s="53" t="n"/>
      <c r="AD14" s="54" t="n"/>
      <c r="AE14" s="55" t="n"/>
      <c r="AF14" s="54" t="n"/>
      <c r="AG14" s="55" t="n"/>
      <c r="AH14" s="52" t="n"/>
      <c r="AI14" s="53" t="n"/>
      <c r="AJ14" s="52" t="n"/>
      <c r="AK14" s="53" t="n"/>
      <c r="AL14" s="52" t="n"/>
      <c r="AM14" s="53" t="n"/>
      <c r="AN14" s="52" t="n"/>
      <c r="AO14" s="53" t="n"/>
      <c r="AP14" s="52" t="n"/>
      <c r="AQ14" s="53" t="n"/>
      <c r="AR14" s="54" t="n"/>
      <c r="AS14" s="55" t="n"/>
      <c r="AT14" s="54" t="n"/>
      <c r="AU14" s="55" t="n"/>
      <c r="AV14" s="52" t="n"/>
      <c r="AW14" s="53" t="n"/>
      <c r="AX14" s="52" t="n"/>
      <c r="AY14" s="53" t="n"/>
      <c r="AZ14" s="52" t="n"/>
      <c r="BA14" s="53" t="n"/>
      <c r="BB14" s="52" t="n"/>
      <c r="BC14" s="53" t="n"/>
      <c r="BD14" s="52" t="n"/>
      <c r="BE14" s="53" t="n"/>
      <c r="BF14" s="54" t="n"/>
      <c r="BG14" s="55" t="n"/>
      <c r="BH14" s="54" t="n"/>
      <c r="BI14" s="55" t="n"/>
      <c r="BJ14" s="52" t="n"/>
      <c r="BK14" s="53" t="n"/>
      <c r="BL14" s="56">
        <f>IF($A14="","",COUNTIF(D14:BK14,"+"))</f>
        <v/>
      </c>
      <c r="BM14" s="57">
        <f>IF($A14="","",COUNTIF(D14:BK14,"x"))</f>
        <v/>
      </c>
      <c r="BN14" s="57">
        <f>IF($A14="","",COUNTIF(D14:BK14,"-"))</f>
        <v/>
      </c>
      <c r="BO14" s="58">
        <f>IF($A14="","",BL14+BM14*0.5)</f>
        <v/>
      </c>
      <c r="BP14" s="58">
        <f>IF($A14="","",SUM(E14,G14,I14,K14,M14,O14,Q14,S14,U14,W14,Y14,AA14,AC14,AE14,AG14,AI14,AK14,AM14,AO14,AQ14,AS14,AU14,AW14,AY14,BA14,BC14,BE14,BG14,BI14,BK14))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4" t="n"/>
      <c r="E15" s="55" t="n"/>
      <c r="F15" s="59" t="n"/>
      <c r="G15" s="60" t="n"/>
      <c r="H15" s="59" t="n"/>
      <c r="I15" s="60" t="n"/>
      <c r="J15" s="59" t="n"/>
      <c r="K15" s="60" t="n"/>
      <c r="L15" s="59" t="n"/>
      <c r="M15" s="60" t="n"/>
      <c r="N15" s="59" t="n"/>
      <c r="O15" s="60" t="n"/>
      <c r="P15" s="54" t="n"/>
      <c r="Q15" s="55" t="n"/>
      <c r="R15" s="54" t="n"/>
      <c r="S15" s="55" t="n"/>
      <c r="T15" s="59" t="n"/>
      <c r="U15" s="60" t="n"/>
      <c r="V15" s="59" t="n"/>
      <c r="W15" s="60" t="n"/>
      <c r="X15" s="59" t="n"/>
      <c r="Y15" s="60" t="n"/>
      <c r="Z15" s="59" t="n"/>
      <c r="AA15" s="60" t="n"/>
      <c r="AB15" s="59" t="n"/>
      <c r="AC15" s="60" t="n"/>
      <c r="AD15" s="54" t="n"/>
      <c r="AE15" s="55" t="n"/>
      <c r="AF15" s="54" t="n"/>
      <c r="AG15" s="55" t="n"/>
      <c r="AH15" s="59" t="n"/>
      <c r="AI15" s="60" t="n"/>
      <c r="AJ15" s="59" t="n"/>
      <c r="AK15" s="60" t="n"/>
      <c r="AL15" s="59" t="n"/>
      <c r="AM15" s="60" t="n"/>
      <c r="AN15" s="59" t="n"/>
      <c r="AO15" s="60" t="n"/>
      <c r="AP15" s="59" t="n"/>
      <c r="AQ15" s="60" t="n"/>
      <c r="AR15" s="54" t="n"/>
      <c r="AS15" s="55" t="n"/>
      <c r="AT15" s="54" t="n"/>
      <c r="AU15" s="55" t="n"/>
      <c r="AV15" s="59" t="n"/>
      <c r="AW15" s="60" t="n"/>
      <c r="AX15" s="59" t="n"/>
      <c r="AY15" s="60" t="n"/>
      <c r="AZ15" s="59" t="n"/>
      <c r="BA15" s="60" t="n"/>
      <c r="BB15" s="59" t="n"/>
      <c r="BC15" s="60" t="n"/>
      <c r="BD15" s="59" t="n"/>
      <c r="BE15" s="60" t="n"/>
      <c r="BF15" s="54" t="n"/>
      <c r="BG15" s="55" t="n"/>
      <c r="BH15" s="54" t="n"/>
      <c r="BI15" s="55" t="n"/>
      <c r="BJ15" s="59" t="n"/>
      <c r="BK15" s="60" t="n"/>
      <c r="BL15" s="56">
        <f>IF($A15="","",COUNTIF(D15:BK15,"+"))</f>
        <v/>
      </c>
      <c r="BM15" s="57">
        <f>IF($A15="","",COUNTIF(D15:BK15,"x"))</f>
        <v/>
      </c>
      <c r="BN15" s="57">
        <f>IF($A15="","",COUNTIF(D15:BK15,"-"))</f>
        <v/>
      </c>
      <c r="BO15" s="58">
        <f>IF($A15="","",BL15+BM15*0.5)</f>
        <v/>
      </c>
      <c r="BP15" s="58">
        <f>IF($A15="","",SUM(E15,G15,I15,K15,M15,O15,Q15,S15,U15,W15,Y15,AA15,AC15,AE15,AG15,AI15,AK15,AM15,AO15,AQ15,AS15,AU15,AW15,AY15,BA15,BC15,BE15,BG15,BI15,BK15))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4" t="n"/>
      <c r="E16" s="55" t="n"/>
      <c r="F16" s="52" t="n"/>
      <c r="G16" s="53" t="n"/>
      <c r="H16" s="52" t="n"/>
      <c r="I16" s="53" t="n"/>
      <c r="J16" s="52" t="n"/>
      <c r="K16" s="53" t="n"/>
      <c r="L16" s="52" t="n"/>
      <c r="M16" s="53" t="n"/>
      <c r="N16" s="52" t="n"/>
      <c r="O16" s="53" t="n"/>
      <c r="P16" s="54" t="n"/>
      <c r="Q16" s="55" t="n"/>
      <c r="R16" s="54" t="n"/>
      <c r="S16" s="55" t="n"/>
      <c r="T16" s="52" t="n"/>
      <c r="U16" s="53" t="n"/>
      <c r="V16" s="52" t="n"/>
      <c r="W16" s="53" t="n"/>
      <c r="X16" s="52" t="n"/>
      <c r="Y16" s="53" t="n"/>
      <c r="Z16" s="52" t="n"/>
      <c r="AA16" s="53" t="n"/>
      <c r="AB16" s="52" t="n"/>
      <c r="AC16" s="53" t="n"/>
      <c r="AD16" s="54" t="n"/>
      <c r="AE16" s="55" t="n"/>
      <c r="AF16" s="54" t="n"/>
      <c r="AG16" s="55" t="n"/>
      <c r="AH16" s="52" t="n"/>
      <c r="AI16" s="53" t="n"/>
      <c r="AJ16" s="52" t="n"/>
      <c r="AK16" s="53" t="n"/>
      <c r="AL16" s="52" t="n"/>
      <c r="AM16" s="53" t="n"/>
      <c r="AN16" s="52" t="n"/>
      <c r="AO16" s="53" t="n"/>
      <c r="AP16" s="52" t="n"/>
      <c r="AQ16" s="53" t="n"/>
      <c r="AR16" s="54" t="n"/>
      <c r="AS16" s="55" t="n"/>
      <c r="AT16" s="54" t="n"/>
      <c r="AU16" s="55" t="n"/>
      <c r="AV16" s="52" t="n"/>
      <c r="AW16" s="53" t="n"/>
      <c r="AX16" s="52" t="n"/>
      <c r="AY16" s="53" t="n"/>
      <c r="AZ16" s="52" t="n"/>
      <c r="BA16" s="53" t="n"/>
      <c r="BB16" s="52" t="n"/>
      <c r="BC16" s="53" t="n"/>
      <c r="BD16" s="52" t="n"/>
      <c r="BE16" s="53" t="n"/>
      <c r="BF16" s="54" t="n"/>
      <c r="BG16" s="55" t="n"/>
      <c r="BH16" s="54" t="n"/>
      <c r="BI16" s="55" t="n"/>
      <c r="BJ16" s="52" t="n"/>
      <c r="BK16" s="53" t="n"/>
      <c r="BL16" s="56">
        <f>IF($A16="","",COUNTIF(D16:BK16,"+"))</f>
        <v/>
      </c>
      <c r="BM16" s="57">
        <f>IF($A16="","",COUNTIF(D16:BK16,"x"))</f>
        <v/>
      </c>
      <c r="BN16" s="57">
        <f>IF($A16="","",COUNTIF(D16:BK16,"-"))</f>
        <v/>
      </c>
      <c r="BO16" s="58">
        <f>IF($A16="","",BL16+BM16*0.5)</f>
        <v/>
      </c>
      <c r="BP16" s="58">
        <f>IF($A16="","",SUM(E16,G16,I16,K16,M16,O16,Q16,S16,U16,W16,Y16,AA16,AC16,AE16,AG16,AI16,AK16,AM16,AO16,AQ16,AS16,AU16,AW16,AY16,BA16,BC16,BE16,BG16,BI16,BK16))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4" t="n"/>
      <c r="E17" s="55" t="n"/>
      <c r="F17" s="59" t="n"/>
      <c r="G17" s="60" t="n"/>
      <c r="H17" s="59" t="n"/>
      <c r="I17" s="60" t="n"/>
      <c r="J17" s="59" t="n"/>
      <c r="K17" s="60" t="n"/>
      <c r="L17" s="59" t="n"/>
      <c r="M17" s="60" t="n"/>
      <c r="N17" s="59" t="n"/>
      <c r="O17" s="60" t="n"/>
      <c r="P17" s="54" t="n"/>
      <c r="Q17" s="55" t="n"/>
      <c r="R17" s="54" t="n"/>
      <c r="S17" s="55" t="n"/>
      <c r="T17" s="59" t="n"/>
      <c r="U17" s="60" t="n"/>
      <c r="V17" s="59" t="n"/>
      <c r="W17" s="60" t="n"/>
      <c r="X17" s="59" t="n"/>
      <c r="Y17" s="60" t="n"/>
      <c r="Z17" s="59" t="n"/>
      <c r="AA17" s="60" t="n"/>
      <c r="AB17" s="59" t="n"/>
      <c r="AC17" s="60" t="n"/>
      <c r="AD17" s="54" t="n"/>
      <c r="AE17" s="55" t="n"/>
      <c r="AF17" s="54" t="n"/>
      <c r="AG17" s="55" t="n"/>
      <c r="AH17" s="59" t="n"/>
      <c r="AI17" s="60" t="n"/>
      <c r="AJ17" s="59" t="n"/>
      <c r="AK17" s="60" t="n"/>
      <c r="AL17" s="59" t="n"/>
      <c r="AM17" s="60" t="n"/>
      <c r="AN17" s="59" t="n"/>
      <c r="AO17" s="60" t="n"/>
      <c r="AP17" s="59" t="n"/>
      <c r="AQ17" s="60" t="n"/>
      <c r="AR17" s="54" t="n"/>
      <c r="AS17" s="55" t="n"/>
      <c r="AT17" s="54" t="n"/>
      <c r="AU17" s="55" t="n"/>
      <c r="AV17" s="59" t="n"/>
      <c r="AW17" s="60" t="n"/>
      <c r="AX17" s="59" t="n"/>
      <c r="AY17" s="60" t="n"/>
      <c r="AZ17" s="59" t="n"/>
      <c r="BA17" s="60" t="n"/>
      <c r="BB17" s="59" t="n"/>
      <c r="BC17" s="60" t="n"/>
      <c r="BD17" s="59" t="n"/>
      <c r="BE17" s="60" t="n"/>
      <c r="BF17" s="54" t="n"/>
      <c r="BG17" s="55" t="n"/>
      <c r="BH17" s="54" t="n"/>
      <c r="BI17" s="55" t="n"/>
      <c r="BJ17" s="59" t="n"/>
      <c r="BK17" s="60" t="n"/>
      <c r="BL17" s="56">
        <f>IF($A17="","",COUNTIF(D17:BK17,"+"))</f>
        <v/>
      </c>
      <c r="BM17" s="57">
        <f>IF($A17="","",COUNTIF(D17:BK17,"x"))</f>
        <v/>
      </c>
      <c r="BN17" s="57">
        <f>IF($A17="","",COUNTIF(D17:BK17,"-"))</f>
        <v/>
      </c>
      <c r="BO17" s="58">
        <f>IF($A17="","",BL17+BM17*0.5)</f>
        <v/>
      </c>
      <c r="BP17" s="58">
        <f>IF($A17="","",SUM(E17,G17,I17,K17,M17,O17,Q17,S17,U17,W17,Y17,AA17,AC17,AE17,AG17,AI17,AK17,AM17,AO17,AQ17,AS17,AU17,AW17,AY17,BA17,BC17,BE17,BG17,BI17,BK17))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4" t="n"/>
      <c r="E18" s="55" t="n"/>
      <c r="F18" s="52" t="n"/>
      <c r="G18" s="53" t="n"/>
      <c r="H18" s="52" t="n"/>
      <c r="I18" s="53" t="n"/>
      <c r="J18" s="52" t="n"/>
      <c r="K18" s="53" t="n"/>
      <c r="L18" s="52" t="n"/>
      <c r="M18" s="53" t="n"/>
      <c r="N18" s="52" t="n"/>
      <c r="O18" s="53" t="n"/>
      <c r="P18" s="54" t="n"/>
      <c r="Q18" s="55" t="n"/>
      <c r="R18" s="54" t="n"/>
      <c r="S18" s="55" t="n"/>
      <c r="T18" s="52" t="n"/>
      <c r="U18" s="53" t="n"/>
      <c r="V18" s="52" t="n"/>
      <c r="W18" s="53" t="n"/>
      <c r="X18" s="52" t="n"/>
      <c r="Y18" s="53" t="n"/>
      <c r="Z18" s="52" t="n"/>
      <c r="AA18" s="53" t="n"/>
      <c r="AB18" s="52" t="n"/>
      <c r="AC18" s="53" t="n"/>
      <c r="AD18" s="54" t="n"/>
      <c r="AE18" s="55" t="n"/>
      <c r="AF18" s="54" t="n"/>
      <c r="AG18" s="55" t="n"/>
      <c r="AH18" s="52" t="n"/>
      <c r="AI18" s="53" t="n"/>
      <c r="AJ18" s="52" t="n"/>
      <c r="AK18" s="53" t="n"/>
      <c r="AL18" s="52" t="n"/>
      <c r="AM18" s="53" t="n"/>
      <c r="AN18" s="52" t="n"/>
      <c r="AO18" s="53" t="n"/>
      <c r="AP18" s="52" t="n"/>
      <c r="AQ18" s="53" t="n"/>
      <c r="AR18" s="54" t="n"/>
      <c r="AS18" s="55" t="n"/>
      <c r="AT18" s="54" t="n"/>
      <c r="AU18" s="55" t="n"/>
      <c r="AV18" s="52" t="n"/>
      <c r="AW18" s="53" t="n"/>
      <c r="AX18" s="52" t="n"/>
      <c r="AY18" s="53" t="n"/>
      <c r="AZ18" s="52" t="n"/>
      <c r="BA18" s="53" t="n"/>
      <c r="BB18" s="52" t="n"/>
      <c r="BC18" s="53" t="n"/>
      <c r="BD18" s="52" t="n"/>
      <c r="BE18" s="53" t="n"/>
      <c r="BF18" s="54" t="n"/>
      <c r="BG18" s="55" t="n"/>
      <c r="BH18" s="54" t="n"/>
      <c r="BI18" s="55" t="n"/>
      <c r="BJ18" s="52" t="n"/>
      <c r="BK18" s="53" t="n"/>
      <c r="BL18" s="56">
        <f>IF($A18="","",COUNTIF(D18:BK18,"+"))</f>
        <v/>
      </c>
      <c r="BM18" s="57">
        <f>IF($A18="","",COUNTIF(D18:BK18,"x"))</f>
        <v/>
      </c>
      <c r="BN18" s="57">
        <f>IF($A18="","",COUNTIF(D18:BK18,"-"))</f>
        <v/>
      </c>
      <c r="BO18" s="58">
        <f>IF($A18="","",BL18+BM18*0.5)</f>
        <v/>
      </c>
      <c r="BP18" s="58">
        <f>IF($A18="","",SUM(E18,G18,I18,K18,M18,O18,Q18,S18,U18,W18,Y18,AA18,AC18,AE18,AG18,AI18,AK18,AM18,AO18,AQ18,AS18,AU18,AW18,AY18,BA18,BC18,BE18,BG18,BI18,BK18))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4" t="n"/>
      <c r="E19" s="55" t="n"/>
      <c r="F19" s="59" t="n"/>
      <c r="G19" s="60" t="n"/>
      <c r="H19" s="59" t="n"/>
      <c r="I19" s="60" t="n"/>
      <c r="J19" s="59" t="n"/>
      <c r="K19" s="60" t="n"/>
      <c r="L19" s="59" t="n"/>
      <c r="M19" s="60" t="n"/>
      <c r="N19" s="59" t="n"/>
      <c r="O19" s="60" t="n"/>
      <c r="P19" s="54" t="n"/>
      <c r="Q19" s="55" t="n"/>
      <c r="R19" s="54" t="n"/>
      <c r="S19" s="55" t="n"/>
      <c r="T19" s="59" t="n"/>
      <c r="U19" s="60" t="n"/>
      <c r="V19" s="59" t="n"/>
      <c r="W19" s="60" t="n"/>
      <c r="X19" s="59" t="n"/>
      <c r="Y19" s="60" t="n"/>
      <c r="Z19" s="59" t="n"/>
      <c r="AA19" s="60" t="n"/>
      <c r="AB19" s="59" t="n"/>
      <c r="AC19" s="60" t="n"/>
      <c r="AD19" s="54" t="n"/>
      <c r="AE19" s="55" t="n"/>
      <c r="AF19" s="54" t="n"/>
      <c r="AG19" s="55" t="n"/>
      <c r="AH19" s="59" t="n"/>
      <c r="AI19" s="60" t="n"/>
      <c r="AJ19" s="59" t="n"/>
      <c r="AK19" s="60" t="n"/>
      <c r="AL19" s="59" t="n"/>
      <c r="AM19" s="60" t="n"/>
      <c r="AN19" s="59" t="n"/>
      <c r="AO19" s="60" t="n"/>
      <c r="AP19" s="59" t="n"/>
      <c r="AQ19" s="60" t="n"/>
      <c r="AR19" s="54" t="n"/>
      <c r="AS19" s="55" t="n"/>
      <c r="AT19" s="54" t="n"/>
      <c r="AU19" s="55" t="n"/>
      <c r="AV19" s="59" t="n"/>
      <c r="AW19" s="60" t="n"/>
      <c r="AX19" s="59" t="n"/>
      <c r="AY19" s="60" t="n"/>
      <c r="AZ19" s="59" t="n"/>
      <c r="BA19" s="60" t="n"/>
      <c r="BB19" s="59" t="n"/>
      <c r="BC19" s="60" t="n"/>
      <c r="BD19" s="59" t="n"/>
      <c r="BE19" s="60" t="n"/>
      <c r="BF19" s="54" t="n"/>
      <c r="BG19" s="55" t="n"/>
      <c r="BH19" s="54" t="n"/>
      <c r="BI19" s="55" t="n"/>
      <c r="BJ19" s="59" t="n"/>
      <c r="BK19" s="60" t="n"/>
      <c r="BL19" s="56">
        <f>IF($A19="","",COUNTIF(D19:BK19,"+"))</f>
        <v/>
      </c>
      <c r="BM19" s="57">
        <f>IF($A19="","",COUNTIF(D19:BK19,"x"))</f>
        <v/>
      </c>
      <c r="BN19" s="57">
        <f>IF($A19="","",COUNTIF(D19:BK19,"-"))</f>
        <v/>
      </c>
      <c r="BO19" s="58">
        <f>IF($A19="","",BL19+BM19*0.5)</f>
        <v/>
      </c>
      <c r="BP19" s="58">
        <f>IF($A19="","",SUM(E19,G19,I19,K19,M19,O19,Q19,S19,U19,W19,Y19,AA19,AC19,AE19,AG19,AI19,AK19,AM19,AO19,AQ19,AS19,AU19,AW19,AY19,BA19,BC19,BE19,BG19,BI19,BK19))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4" t="n"/>
      <c r="E20" s="55" t="n"/>
      <c r="F20" s="52" t="n"/>
      <c r="G20" s="53" t="n"/>
      <c r="H20" s="52" t="n"/>
      <c r="I20" s="53" t="n"/>
      <c r="J20" s="52" t="n"/>
      <c r="K20" s="53" t="n"/>
      <c r="L20" s="52" t="n"/>
      <c r="M20" s="53" t="n"/>
      <c r="N20" s="52" t="n"/>
      <c r="O20" s="53" t="n"/>
      <c r="P20" s="54" t="n"/>
      <c r="Q20" s="55" t="n"/>
      <c r="R20" s="54" t="n"/>
      <c r="S20" s="55" t="n"/>
      <c r="T20" s="52" t="n"/>
      <c r="U20" s="53" t="n"/>
      <c r="V20" s="52" t="n"/>
      <c r="W20" s="53" t="n"/>
      <c r="X20" s="52" t="n"/>
      <c r="Y20" s="53" t="n"/>
      <c r="Z20" s="52" t="n"/>
      <c r="AA20" s="53" t="n"/>
      <c r="AB20" s="52" t="n"/>
      <c r="AC20" s="53" t="n"/>
      <c r="AD20" s="54" t="n"/>
      <c r="AE20" s="55" t="n"/>
      <c r="AF20" s="54" t="n"/>
      <c r="AG20" s="55" t="n"/>
      <c r="AH20" s="52" t="n"/>
      <c r="AI20" s="53" t="n"/>
      <c r="AJ20" s="52" t="n"/>
      <c r="AK20" s="53" t="n"/>
      <c r="AL20" s="52" t="n"/>
      <c r="AM20" s="53" t="n"/>
      <c r="AN20" s="52" t="n"/>
      <c r="AO20" s="53" t="n"/>
      <c r="AP20" s="52" t="n"/>
      <c r="AQ20" s="53" t="n"/>
      <c r="AR20" s="54" t="n"/>
      <c r="AS20" s="55" t="n"/>
      <c r="AT20" s="54" t="n"/>
      <c r="AU20" s="55" t="n"/>
      <c r="AV20" s="52" t="n"/>
      <c r="AW20" s="53" t="n"/>
      <c r="AX20" s="52" t="n"/>
      <c r="AY20" s="53" t="n"/>
      <c r="AZ20" s="52" t="n"/>
      <c r="BA20" s="53" t="n"/>
      <c r="BB20" s="52" t="n"/>
      <c r="BC20" s="53" t="n"/>
      <c r="BD20" s="52" t="n"/>
      <c r="BE20" s="53" t="n"/>
      <c r="BF20" s="54" t="n"/>
      <c r="BG20" s="55" t="n"/>
      <c r="BH20" s="54" t="n"/>
      <c r="BI20" s="55" t="n"/>
      <c r="BJ20" s="52" t="n"/>
      <c r="BK20" s="53" t="n"/>
      <c r="BL20" s="56">
        <f>IF($A20="","",COUNTIF(D20:BK20,"+"))</f>
        <v/>
      </c>
      <c r="BM20" s="57">
        <f>IF($A20="","",COUNTIF(D20:BK20,"x"))</f>
        <v/>
      </c>
      <c r="BN20" s="57">
        <f>IF($A20="","",COUNTIF(D20:BK20,"-"))</f>
        <v/>
      </c>
      <c r="BO20" s="58">
        <f>IF($A20="","",BL20+BM20*0.5)</f>
        <v/>
      </c>
      <c r="BP20" s="58">
        <f>IF($A20="","",SUM(E20,G20,I20,K20,M20,O20,Q20,S20,U20,W20,Y20,AA20,AC20,AE20,AG20,AI20,AK20,AM20,AO20,AQ20,AS20,AU20,AW20,AY20,BA20,BC20,BE20,BG20,BI20,BK20))</f>
        <v/>
      </c>
    </row>
  </sheetData>
  <mergeCells count="43">
    <mergeCell ref="F4:G4"/>
    <mergeCell ref="P4:Q4"/>
    <mergeCell ref="AX4:AY4"/>
    <mergeCell ref="BH4:BI4"/>
    <mergeCell ref="C4:C5"/>
    <mergeCell ref="BJ4:BK4"/>
    <mergeCell ref="BP4:BP5"/>
    <mergeCell ref="H4:I4"/>
    <mergeCell ref="R4:S4"/>
    <mergeCell ref="A2:C2"/>
    <mergeCell ref="AB4:AC4"/>
    <mergeCell ref="T4:U4"/>
    <mergeCell ref="AF4:AG4"/>
    <mergeCell ref="V4:W4"/>
    <mergeCell ref="AH4:AI4"/>
    <mergeCell ref="AN4:AO4"/>
    <mergeCell ref="BL4:BL5"/>
    <mergeCell ref="BN4:BN5"/>
    <mergeCell ref="I2:L2"/>
    <mergeCell ref="AR4:AS4"/>
    <mergeCell ref="AV4:AW4"/>
    <mergeCell ref="AT4:AU4"/>
    <mergeCell ref="AZ4:BA4"/>
    <mergeCell ref="J4:K4"/>
    <mergeCell ref="A1:BP1"/>
    <mergeCell ref="BB4:BC4"/>
    <mergeCell ref="L4:M4"/>
    <mergeCell ref="BD4:BE4"/>
    <mergeCell ref="BF4:BG4"/>
    <mergeCell ref="A4:A5"/>
    <mergeCell ref="D4:E4"/>
    <mergeCell ref="BM4:BM5"/>
    <mergeCell ref="N2:Q2"/>
    <mergeCell ref="D2:G2"/>
    <mergeCell ref="BO4:BO5"/>
    <mergeCell ref="X4:Y4"/>
    <mergeCell ref="AJ4:AK4"/>
    <mergeCell ref="Z4:AA4"/>
    <mergeCell ref="B4:B5"/>
    <mergeCell ref="AL4:AM4"/>
    <mergeCell ref="AD4:AE4"/>
    <mergeCell ref="AP4:AQ4"/>
    <mergeCell ref="N4:O4"/>
  </mergeCells>
  <conditionalFormatting sqref="D6:BK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R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.6" customWidth="1" min="4" max="4"/>
    <col width="5.8" customWidth="1" min="5" max="5"/>
    <col width="4.6" customWidth="1" min="6" max="6"/>
    <col width="5.8" customWidth="1" min="7" max="7"/>
    <col width="4.6" customWidth="1" min="8" max="8"/>
    <col width="5.8" customWidth="1" min="9" max="9"/>
    <col width="4.6" customWidth="1" min="10" max="10"/>
    <col width="5.8" customWidth="1" min="11" max="11"/>
    <col width="4.6" customWidth="1" min="12" max="12"/>
    <col width="5.8" customWidth="1" min="13" max="13"/>
    <col width="4.6" customWidth="1" min="14" max="14"/>
    <col width="5.8" customWidth="1" min="15" max="15"/>
    <col width="4.6" customWidth="1" min="16" max="16"/>
    <col width="5.8" customWidth="1" min="17" max="17"/>
    <col width="4.6" customWidth="1" min="18" max="18"/>
    <col width="5.8" customWidth="1" min="19" max="19"/>
    <col width="4.6" customWidth="1" min="20" max="20"/>
    <col width="5.8" customWidth="1" min="21" max="21"/>
    <col width="4.6" customWidth="1" min="22" max="22"/>
    <col width="5.8" customWidth="1" min="23" max="23"/>
    <col width="4.6" customWidth="1" min="24" max="24"/>
    <col width="5.8" customWidth="1" min="25" max="25"/>
    <col width="4.6" customWidth="1" min="26" max="26"/>
    <col width="5.8" customWidth="1" min="27" max="27"/>
    <col width="4.6" customWidth="1" min="28" max="28"/>
    <col width="5.8" customWidth="1" min="29" max="29"/>
    <col width="4.6" customWidth="1" min="30" max="30"/>
    <col width="5.8" customWidth="1" min="31" max="31"/>
    <col width="4.6" customWidth="1" min="32" max="32"/>
    <col width="5.8" customWidth="1" min="33" max="33"/>
    <col width="4.6" customWidth="1" min="34" max="34"/>
    <col width="5.8" customWidth="1" min="35" max="35"/>
    <col width="4.6" customWidth="1" min="36" max="36"/>
    <col width="5.8" customWidth="1" min="37" max="37"/>
    <col width="4.6" customWidth="1" min="38" max="38"/>
    <col width="5.8" customWidth="1" min="39" max="39"/>
    <col width="4.6" customWidth="1" min="40" max="40"/>
    <col width="5.8" customWidth="1" min="41" max="41"/>
    <col width="4.6" customWidth="1" min="42" max="42"/>
    <col width="5.8" customWidth="1" min="43" max="43"/>
    <col width="4.6" customWidth="1" min="44" max="44"/>
    <col width="5.8" customWidth="1" min="45" max="45"/>
    <col width="4.6" customWidth="1" min="46" max="46"/>
    <col width="5.8" customWidth="1" min="47" max="47"/>
    <col width="4.6" customWidth="1" min="48" max="48"/>
    <col width="5.8" customWidth="1" min="49" max="49"/>
    <col width="4.6" customWidth="1" min="50" max="50"/>
    <col width="5.8" customWidth="1" min="51" max="51"/>
    <col width="4.6" customWidth="1" min="52" max="52"/>
    <col width="5.8" customWidth="1" min="53" max="53"/>
    <col width="4.6" customWidth="1" min="54" max="54"/>
    <col width="5.8" customWidth="1" min="55" max="55"/>
    <col width="4.6" customWidth="1" min="56" max="56"/>
    <col width="5.8" customWidth="1" min="57" max="57"/>
    <col width="4.6" customWidth="1" min="58" max="58"/>
    <col width="5.8" customWidth="1" min="59" max="59"/>
    <col width="4.6" customWidth="1" min="60" max="60"/>
    <col width="5.8" customWidth="1" min="61" max="61"/>
    <col width="4.6" customWidth="1" min="62" max="62"/>
    <col width="5.8" customWidth="1" min="63" max="63"/>
    <col width="4.6" customWidth="1" min="64" max="64"/>
    <col width="5.8" customWidth="1" min="65" max="65"/>
    <col width="9" customWidth="1" min="66" max="66"/>
    <col width="9" customWidth="1" min="67" max="67"/>
    <col width="9" customWidth="1" min="68" max="68"/>
    <col width="11" customWidth="1" min="69" max="69"/>
    <col width="11" customWidth="1" min="70" max="70"/>
  </cols>
  <sheetData>
    <row r="1" ht="32" customHeight="1">
      <c r="A1" s="1" t="inlineStr">
        <is>
          <t>ARALIK 2026 — PERSONEL PUANTAJ VE MESAİ ÇİZELGESİ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 ht="20" customHeight="1">
      <c r="A2" s="25" t="inlineStr">
        <is>
          <t>Takvim gün sayısı: 31  |  Durum kodları  →</t>
        </is>
      </c>
      <c r="D2" s="43" t="inlineStr">
        <is>
          <t>+  Geldi</t>
        </is>
      </c>
      <c r="E2" s="44" t="n"/>
      <c r="F2" s="44" t="n"/>
      <c r="G2" s="44" t="n"/>
      <c r="I2" s="45" t="inlineStr">
        <is>
          <t>x  Yarım Gün</t>
        </is>
      </c>
      <c r="J2" s="46" t="n"/>
      <c r="K2" s="46" t="n"/>
      <c r="L2" s="46" t="n"/>
      <c r="N2" s="47" t="inlineStr">
        <is>
          <t>-  Gelmedi</t>
        </is>
      </c>
      <c r="O2" s="48" t="n"/>
      <c r="P2" s="48" t="n"/>
      <c r="Q2" s="48" t="n"/>
    </row>
    <row r="4" ht="30" customHeight="1">
      <c r="A4" s="10" t="inlineStr">
        <is>
          <t>Sicil No</t>
        </is>
      </c>
      <c r="B4" s="10" t="inlineStr">
        <is>
          <t>Ad Soyad</t>
        </is>
      </c>
      <c r="C4" s="10" t="inlineStr">
        <is>
          <t>Departman</t>
        </is>
      </c>
      <c r="D4" s="23" t="inlineStr">
        <is>
          <t>1
Sal</t>
        </is>
      </c>
      <c r="E4" s="23" t="n"/>
      <c r="F4" s="23" t="inlineStr">
        <is>
          <t>2
Çar</t>
        </is>
      </c>
      <c r="G4" s="23" t="n"/>
      <c r="H4" s="23" t="inlineStr">
        <is>
          <t>3
Per</t>
        </is>
      </c>
      <c r="I4" s="23" t="n"/>
      <c r="J4" s="23" t="inlineStr">
        <is>
          <t>4
Cum</t>
        </is>
      </c>
      <c r="K4" s="23" t="n"/>
      <c r="L4" s="49" t="inlineStr">
        <is>
          <t>5
Cmt</t>
        </is>
      </c>
      <c r="M4" s="49" t="n"/>
      <c r="N4" s="49" t="inlineStr">
        <is>
          <t>6
Paz</t>
        </is>
      </c>
      <c r="O4" s="49" t="n"/>
      <c r="P4" s="23" t="inlineStr">
        <is>
          <t>7
Pzt</t>
        </is>
      </c>
      <c r="Q4" s="23" t="n"/>
      <c r="R4" s="23" t="inlineStr">
        <is>
          <t>8
Sal</t>
        </is>
      </c>
      <c r="S4" s="23" t="n"/>
      <c r="T4" s="23" t="inlineStr">
        <is>
          <t>9
Çar</t>
        </is>
      </c>
      <c r="U4" s="23" t="n"/>
      <c r="V4" s="23" t="inlineStr">
        <is>
          <t>10
Per</t>
        </is>
      </c>
      <c r="W4" s="23" t="n"/>
      <c r="X4" s="23" t="inlineStr">
        <is>
          <t>11
Cum</t>
        </is>
      </c>
      <c r="Y4" s="23" t="n"/>
      <c r="Z4" s="49" t="inlineStr">
        <is>
          <t>12
Cmt</t>
        </is>
      </c>
      <c r="AA4" s="49" t="n"/>
      <c r="AB4" s="49" t="inlineStr">
        <is>
          <t>13
Paz</t>
        </is>
      </c>
      <c r="AC4" s="49" t="n"/>
      <c r="AD4" s="23" t="inlineStr">
        <is>
          <t>14
Pzt</t>
        </is>
      </c>
      <c r="AE4" s="23" t="n"/>
      <c r="AF4" s="23" t="inlineStr">
        <is>
          <t>15
Sal</t>
        </is>
      </c>
      <c r="AG4" s="23" t="n"/>
      <c r="AH4" s="23" t="inlineStr">
        <is>
          <t>16
Çar</t>
        </is>
      </c>
      <c r="AI4" s="23" t="n"/>
      <c r="AJ4" s="23" t="inlineStr">
        <is>
          <t>17
Per</t>
        </is>
      </c>
      <c r="AK4" s="23" t="n"/>
      <c r="AL4" s="23" t="inlineStr">
        <is>
          <t>18
Cum</t>
        </is>
      </c>
      <c r="AM4" s="23" t="n"/>
      <c r="AN4" s="49" t="inlineStr">
        <is>
          <t>19
Cmt</t>
        </is>
      </c>
      <c r="AO4" s="49" t="n"/>
      <c r="AP4" s="49" t="inlineStr">
        <is>
          <t>20
Paz</t>
        </is>
      </c>
      <c r="AQ4" s="49" t="n"/>
      <c r="AR4" s="23" t="inlineStr">
        <is>
          <t>21
Pzt</t>
        </is>
      </c>
      <c r="AS4" s="23" t="n"/>
      <c r="AT4" s="23" t="inlineStr">
        <is>
          <t>22
Sal</t>
        </is>
      </c>
      <c r="AU4" s="23" t="n"/>
      <c r="AV4" s="23" t="inlineStr">
        <is>
          <t>23
Çar</t>
        </is>
      </c>
      <c r="AW4" s="23" t="n"/>
      <c r="AX4" s="23" t="inlineStr">
        <is>
          <t>24
Per</t>
        </is>
      </c>
      <c r="AY4" s="23" t="n"/>
      <c r="AZ4" s="23" t="inlineStr">
        <is>
          <t>25
Cum</t>
        </is>
      </c>
      <c r="BA4" s="23" t="n"/>
      <c r="BB4" s="49" t="inlineStr">
        <is>
          <t>26
Cmt</t>
        </is>
      </c>
      <c r="BC4" s="49" t="n"/>
      <c r="BD4" s="49" t="inlineStr">
        <is>
          <t>27
Paz</t>
        </is>
      </c>
      <c r="BE4" s="49" t="n"/>
      <c r="BF4" s="23" t="inlineStr">
        <is>
          <t>28
Pzt</t>
        </is>
      </c>
      <c r="BG4" s="23" t="n"/>
      <c r="BH4" s="23" t="inlineStr">
        <is>
          <t>29
Sal</t>
        </is>
      </c>
      <c r="BI4" s="23" t="n"/>
      <c r="BJ4" s="23" t="inlineStr">
        <is>
          <t>30
Çar</t>
        </is>
      </c>
      <c r="BK4" s="23" t="n"/>
      <c r="BL4" s="23" t="inlineStr">
        <is>
          <t>31
Per</t>
        </is>
      </c>
      <c r="BM4" s="23" t="n"/>
      <c r="BN4" s="50" t="inlineStr">
        <is>
          <t>Tam Gün
(+)</t>
        </is>
      </c>
      <c r="BO4" s="10" t="inlineStr">
        <is>
          <t>Yarım Gün
(x)</t>
        </is>
      </c>
      <c r="BP4" s="10" t="inlineStr">
        <is>
          <t>Gelmediği
Gün (-)</t>
        </is>
      </c>
      <c r="BQ4" s="10" t="inlineStr">
        <is>
          <t>Fiili
Çalışılan Gün</t>
        </is>
      </c>
      <c r="BR4" s="10" t="inlineStr">
        <is>
          <t>Toplam
Mesai (Saat)</t>
        </is>
      </c>
    </row>
    <row r="5" ht="18" customHeight="1">
      <c r="A5" s="10" t="n"/>
      <c r="B5" s="10" t="n"/>
      <c r="C5" s="10" t="n"/>
      <c r="D5" s="51" t="inlineStr">
        <is>
          <t>Drm</t>
        </is>
      </c>
      <c r="E5" s="51" t="inlineStr">
        <is>
          <t>Mesai</t>
        </is>
      </c>
      <c r="F5" s="51" t="inlineStr">
        <is>
          <t>Drm</t>
        </is>
      </c>
      <c r="G5" s="51" t="inlineStr">
        <is>
          <t>Mesai</t>
        </is>
      </c>
      <c r="H5" s="51" t="inlineStr">
        <is>
          <t>Drm</t>
        </is>
      </c>
      <c r="I5" s="51" t="inlineStr">
        <is>
          <t>Mesai</t>
        </is>
      </c>
      <c r="J5" s="51" t="inlineStr">
        <is>
          <t>Drm</t>
        </is>
      </c>
      <c r="K5" s="51" t="inlineStr">
        <is>
          <t>Mesai</t>
        </is>
      </c>
      <c r="L5" s="51" t="inlineStr">
        <is>
          <t>Drm</t>
        </is>
      </c>
      <c r="M5" s="51" t="inlineStr">
        <is>
          <t>Mesai</t>
        </is>
      </c>
      <c r="N5" s="51" t="inlineStr">
        <is>
          <t>Drm</t>
        </is>
      </c>
      <c r="O5" s="51" t="inlineStr">
        <is>
          <t>Mesai</t>
        </is>
      </c>
      <c r="P5" s="51" t="inlineStr">
        <is>
          <t>Drm</t>
        </is>
      </c>
      <c r="Q5" s="51" t="inlineStr">
        <is>
          <t>Mesai</t>
        </is>
      </c>
      <c r="R5" s="51" t="inlineStr">
        <is>
          <t>Drm</t>
        </is>
      </c>
      <c r="S5" s="51" t="inlineStr">
        <is>
          <t>Mesai</t>
        </is>
      </c>
      <c r="T5" s="51" t="inlineStr">
        <is>
          <t>Drm</t>
        </is>
      </c>
      <c r="U5" s="51" t="inlineStr">
        <is>
          <t>Mesai</t>
        </is>
      </c>
      <c r="V5" s="51" t="inlineStr">
        <is>
          <t>Drm</t>
        </is>
      </c>
      <c r="W5" s="51" t="inlineStr">
        <is>
          <t>Mesai</t>
        </is>
      </c>
      <c r="X5" s="51" t="inlineStr">
        <is>
          <t>Drm</t>
        </is>
      </c>
      <c r="Y5" s="51" t="inlineStr">
        <is>
          <t>Mesai</t>
        </is>
      </c>
      <c r="Z5" s="51" t="inlineStr">
        <is>
          <t>Drm</t>
        </is>
      </c>
      <c r="AA5" s="51" t="inlineStr">
        <is>
          <t>Mesai</t>
        </is>
      </c>
      <c r="AB5" s="51" t="inlineStr">
        <is>
          <t>Drm</t>
        </is>
      </c>
      <c r="AC5" s="51" t="inlineStr">
        <is>
          <t>Mesai</t>
        </is>
      </c>
      <c r="AD5" s="51" t="inlineStr">
        <is>
          <t>Drm</t>
        </is>
      </c>
      <c r="AE5" s="51" t="inlineStr">
        <is>
          <t>Mesai</t>
        </is>
      </c>
      <c r="AF5" s="51" t="inlineStr">
        <is>
          <t>Drm</t>
        </is>
      </c>
      <c r="AG5" s="51" t="inlineStr">
        <is>
          <t>Mesai</t>
        </is>
      </c>
      <c r="AH5" s="51" t="inlineStr">
        <is>
          <t>Drm</t>
        </is>
      </c>
      <c r="AI5" s="51" t="inlineStr">
        <is>
          <t>Mesai</t>
        </is>
      </c>
      <c r="AJ5" s="51" t="inlineStr">
        <is>
          <t>Drm</t>
        </is>
      </c>
      <c r="AK5" s="51" t="inlineStr">
        <is>
          <t>Mesai</t>
        </is>
      </c>
      <c r="AL5" s="51" t="inlineStr">
        <is>
          <t>Drm</t>
        </is>
      </c>
      <c r="AM5" s="51" t="inlineStr">
        <is>
          <t>Mesai</t>
        </is>
      </c>
      <c r="AN5" s="51" t="inlineStr">
        <is>
          <t>Drm</t>
        </is>
      </c>
      <c r="AO5" s="51" t="inlineStr">
        <is>
          <t>Mesai</t>
        </is>
      </c>
      <c r="AP5" s="51" t="inlineStr">
        <is>
          <t>Drm</t>
        </is>
      </c>
      <c r="AQ5" s="51" t="inlineStr">
        <is>
          <t>Mesai</t>
        </is>
      </c>
      <c r="AR5" s="51" t="inlineStr">
        <is>
          <t>Drm</t>
        </is>
      </c>
      <c r="AS5" s="51" t="inlineStr">
        <is>
          <t>Mesai</t>
        </is>
      </c>
      <c r="AT5" s="51" t="inlineStr">
        <is>
          <t>Drm</t>
        </is>
      </c>
      <c r="AU5" s="51" t="inlineStr">
        <is>
          <t>Mesai</t>
        </is>
      </c>
      <c r="AV5" s="51" t="inlineStr">
        <is>
          <t>Drm</t>
        </is>
      </c>
      <c r="AW5" s="51" t="inlineStr">
        <is>
          <t>Mesai</t>
        </is>
      </c>
      <c r="AX5" s="51" t="inlineStr">
        <is>
          <t>Drm</t>
        </is>
      </c>
      <c r="AY5" s="51" t="inlineStr">
        <is>
          <t>Mesai</t>
        </is>
      </c>
      <c r="AZ5" s="51" t="inlineStr">
        <is>
          <t>Drm</t>
        </is>
      </c>
      <c r="BA5" s="51" t="inlineStr">
        <is>
          <t>Mesai</t>
        </is>
      </c>
      <c r="BB5" s="51" t="inlineStr">
        <is>
          <t>Drm</t>
        </is>
      </c>
      <c r="BC5" s="51" t="inlineStr">
        <is>
          <t>Mesai</t>
        </is>
      </c>
      <c r="BD5" s="51" t="inlineStr">
        <is>
          <t>Drm</t>
        </is>
      </c>
      <c r="BE5" s="51" t="inlineStr">
        <is>
          <t>Mesai</t>
        </is>
      </c>
      <c r="BF5" s="51" t="inlineStr">
        <is>
          <t>Drm</t>
        </is>
      </c>
      <c r="BG5" s="51" t="inlineStr">
        <is>
          <t>Mesai</t>
        </is>
      </c>
      <c r="BH5" s="51" t="inlineStr">
        <is>
          <t>Drm</t>
        </is>
      </c>
      <c r="BI5" s="51" t="inlineStr">
        <is>
          <t>Mesai</t>
        </is>
      </c>
      <c r="BJ5" s="51" t="inlineStr">
        <is>
          <t>Drm</t>
        </is>
      </c>
      <c r="BK5" s="51" t="inlineStr">
        <is>
          <t>Mesai</t>
        </is>
      </c>
      <c r="BL5" s="51" t="inlineStr">
        <is>
          <t>Drm</t>
        </is>
      </c>
      <c r="BM5" s="51" t="inlineStr">
        <is>
          <t>Mesai</t>
        </is>
      </c>
      <c r="BN5" s="50" t="n"/>
      <c r="BO5" s="10" t="n"/>
      <c r="BP5" s="10" t="n"/>
      <c r="BQ5" s="10" t="n"/>
      <c r="BR5" s="10" t="n"/>
    </row>
    <row r="6" ht="20" customHeight="1">
      <c r="A6" s="11">
        <f>IF(Personel_Listesi!A5="","",Personel_Listesi!A5)</f>
        <v/>
      </c>
      <c r="B6" s="27">
        <f>IF(Personel_Listesi!B5="","",UPPER(Personel_Listesi!B5))</f>
        <v/>
      </c>
      <c r="C6" s="11">
        <f>IF(Personel_Listesi!C5="","",Personel_Listesi!C5)</f>
        <v/>
      </c>
      <c r="D6" s="52" t="n"/>
      <c r="E6" s="53" t="n"/>
      <c r="F6" s="52" t="n"/>
      <c r="G6" s="53" t="n"/>
      <c r="H6" s="52" t="n"/>
      <c r="I6" s="53" t="n"/>
      <c r="J6" s="52" t="n"/>
      <c r="K6" s="53" t="n"/>
      <c r="L6" s="54" t="n"/>
      <c r="M6" s="55" t="n"/>
      <c r="N6" s="54" t="n"/>
      <c r="O6" s="55" t="n"/>
      <c r="P6" s="52" t="n"/>
      <c r="Q6" s="53" t="n"/>
      <c r="R6" s="52" t="n"/>
      <c r="S6" s="53" t="n"/>
      <c r="T6" s="52" t="n"/>
      <c r="U6" s="53" t="n"/>
      <c r="V6" s="52" t="n"/>
      <c r="W6" s="53" t="n"/>
      <c r="X6" s="52" t="n"/>
      <c r="Y6" s="53" t="n"/>
      <c r="Z6" s="54" t="n"/>
      <c r="AA6" s="55" t="n"/>
      <c r="AB6" s="54" t="n"/>
      <c r="AC6" s="55" t="n"/>
      <c r="AD6" s="52" t="n"/>
      <c r="AE6" s="53" t="n"/>
      <c r="AF6" s="52" t="n"/>
      <c r="AG6" s="53" t="n"/>
      <c r="AH6" s="52" t="n"/>
      <c r="AI6" s="53" t="n"/>
      <c r="AJ6" s="52" t="n"/>
      <c r="AK6" s="53" t="n"/>
      <c r="AL6" s="52" t="n"/>
      <c r="AM6" s="53" t="n"/>
      <c r="AN6" s="54" t="n"/>
      <c r="AO6" s="55" t="n"/>
      <c r="AP6" s="54" t="n"/>
      <c r="AQ6" s="55" t="n"/>
      <c r="AR6" s="52" t="n"/>
      <c r="AS6" s="53" t="n"/>
      <c r="AT6" s="52" t="n"/>
      <c r="AU6" s="53" t="n"/>
      <c r="AV6" s="52" t="n"/>
      <c r="AW6" s="53" t="n"/>
      <c r="AX6" s="52" t="n"/>
      <c r="AY6" s="53" t="n"/>
      <c r="AZ6" s="52" t="n"/>
      <c r="BA6" s="53" t="n"/>
      <c r="BB6" s="54" t="n"/>
      <c r="BC6" s="55" t="n"/>
      <c r="BD6" s="54" t="n"/>
      <c r="BE6" s="55" t="n"/>
      <c r="BF6" s="52" t="n"/>
      <c r="BG6" s="53" t="n"/>
      <c r="BH6" s="52" t="n"/>
      <c r="BI6" s="53" t="n"/>
      <c r="BJ6" s="52" t="n"/>
      <c r="BK6" s="53" t="n"/>
      <c r="BL6" s="52" t="n"/>
      <c r="BM6" s="53" t="n"/>
      <c r="BN6" s="56">
        <f>IF($A6="","",COUNTIF(D6:BM6,"+"))</f>
        <v/>
      </c>
      <c r="BO6" s="57">
        <f>IF($A6="","",COUNTIF(D6:BM6,"x"))</f>
        <v/>
      </c>
      <c r="BP6" s="57">
        <f>IF($A6="","",COUNTIF(D6:BM6,"-"))</f>
        <v/>
      </c>
      <c r="BQ6" s="58">
        <f>IF($A6="","",BN6+BO6*0.5)</f>
        <v/>
      </c>
      <c r="BR6" s="58">
        <f>IF($A6="","",SUM(E6,G6,I6,K6,M6,O6,Q6,S6,U6,W6,Y6,AA6,AC6,AE6,AG6,AI6,AK6,AM6,AO6,AQ6,AS6,AU6,AW6,AY6,BA6,BC6,BE6,BG6,BI6,BK6,BM6))</f>
        <v/>
      </c>
    </row>
    <row r="7" ht="20" customHeight="1">
      <c r="A7" s="15">
        <f>IF(Personel_Listesi!A6="","",Personel_Listesi!A6)</f>
        <v/>
      </c>
      <c r="B7" s="30">
        <f>IF(Personel_Listesi!B6="","",UPPER(Personel_Listesi!B6))</f>
        <v/>
      </c>
      <c r="C7" s="15">
        <f>IF(Personel_Listesi!C6="","",Personel_Listesi!C6)</f>
        <v/>
      </c>
      <c r="D7" s="59" t="n"/>
      <c r="E7" s="60" t="n"/>
      <c r="F7" s="59" t="n"/>
      <c r="G7" s="60" t="n"/>
      <c r="H7" s="59" t="n"/>
      <c r="I7" s="60" t="n"/>
      <c r="J7" s="59" t="n"/>
      <c r="K7" s="60" t="n"/>
      <c r="L7" s="54" t="n"/>
      <c r="M7" s="55" t="n"/>
      <c r="N7" s="54" t="n"/>
      <c r="O7" s="55" t="n"/>
      <c r="P7" s="59" t="n"/>
      <c r="Q7" s="60" t="n"/>
      <c r="R7" s="59" t="n"/>
      <c r="S7" s="60" t="n"/>
      <c r="T7" s="59" t="n"/>
      <c r="U7" s="60" t="n"/>
      <c r="V7" s="59" t="n"/>
      <c r="W7" s="60" t="n"/>
      <c r="X7" s="59" t="n"/>
      <c r="Y7" s="60" t="n"/>
      <c r="Z7" s="54" t="n"/>
      <c r="AA7" s="55" t="n"/>
      <c r="AB7" s="54" t="n"/>
      <c r="AC7" s="55" t="n"/>
      <c r="AD7" s="59" t="n"/>
      <c r="AE7" s="60" t="n"/>
      <c r="AF7" s="59" t="n"/>
      <c r="AG7" s="60" t="n"/>
      <c r="AH7" s="59" t="n"/>
      <c r="AI7" s="60" t="n"/>
      <c r="AJ7" s="59" t="n"/>
      <c r="AK7" s="60" t="n"/>
      <c r="AL7" s="59" t="n"/>
      <c r="AM7" s="60" t="n"/>
      <c r="AN7" s="54" t="n"/>
      <c r="AO7" s="55" t="n"/>
      <c r="AP7" s="54" t="n"/>
      <c r="AQ7" s="55" t="n"/>
      <c r="AR7" s="59" t="n"/>
      <c r="AS7" s="60" t="n"/>
      <c r="AT7" s="59" t="n"/>
      <c r="AU7" s="60" t="n"/>
      <c r="AV7" s="59" t="n"/>
      <c r="AW7" s="60" t="n"/>
      <c r="AX7" s="59" t="n"/>
      <c r="AY7" s="60" t="n"/>
      <c r="AZ7" s="59" t="n"/>
      <c r="BA7" s="60" t="n"/>
      <c r="BB7" s="54" t="n"/>
      <c r="BC7" s="55" t="n"/>
      <c r="BD7" s="54" t="n"/>
      <c r="BE7" s="55" t="n"/>
      <c r="BF7" s="59" t="n"/>
      <c r="BG7" s="60" t="n"/>
      <c r="BH7" s="59" t="n"/>
      <c r="BI7" s="60" t="n"/>
      <c r="BJ7" s="59" t="n"/>
      <c r="BK7" s="60" t="n"/>
      <c r="BL7" s="59" t="n"/>
      <c r="BM7" s="60" t="n"/>
      <c r="BN7" s="56">
        <f>IF($A7="","",COUNTIF(D7:BM7,"+"))</f>
        <v/>
      </c>
      <c r="BO7" s="57">
        <f>IF($A7="","",COUNTIF(D7:BM7,"x"))</f>
        <v/>
      </c>
      <c r="BP7" s="57">
        <f>IF($A7="","",COUNTIF(D7:BM7,"-"))</f>
        <v/>
      </c>
      <c r="BQ7" s="58">
        <f>IF($A7="","",BN7+BO7*0.5)</f>
        <v/>
      </c>
      <c r="BR7" s="58">
        <f>IF($A7="","",SUM(E7,G7,I7,K7,M7,O7,Q7,S7,U7,W7,Y7,AA7,AC7,AE7,AG7,AI7,AK7,AM7,AO7,AQ7,AS7,AU7,AW7,AY7,BA7,BC7,BE7,BG7,BI7,BK7,BM7))</f>
        <v/>
      </c>
    </row>
    <row r="8" ht="20" customHeight="1">
      <c r="A8" s="11">
        <f>IF(Personel_Listesi!A7="","",Personel_Listesi!A7)</f>
        <v/>
      </c>
      <c r="B8" s="27">
        <f>IF(Personel_Listesi!B7="","",UPPER(Personel_Listesi!B7))</f>
        <v/>
      </c>
      <c r="C8" s="11">
        <f>IF(Personel_Listesi!C7="","",Personel_Listesi!C7)</f>
        <v/>
      </c>
      <c r="D8" s="52" t="n"/>
      <c r="E8" s="53" t="n"/>
      <c r="F8" s="52" t="n"/>
      <c r="G8" s="53" t="n"/>
      <c r="H8" s="52" t="n"/>
      <c r="I8" s="53" t="n"/>
      <c r="J8" s="52" t="n"/>
      <c r="K8" s="53" t="n"/>
      <c r="L8" s="54" t="n"/>
      <c r="M8" s="55" t="n"/>
      <c r="N8" s="54" t="n"/>
      <c r="O8" s="55" t="n"/>
      <c r="P8" s="52" t="n"/>
      <c r="Q8" s="53" t="n"/>
      <c r="R8" s="52" t="n"/>
      <c r="S8" s="53" t="n"/>
      <c r="T8" s="52" t="n"/>
      <c r="U8" s="53" t="n"/>
      <c r="V8" s="52" t="n"/>
      <c r="W8" s="53" t="n"/>
      <c r="X8" s="52" t="n"/>
      <c r="Y8" s="53" t="n"/>
      <c r="Z8" s="54" t="n"/>
      <c r="AA8" s="55" t="n"/>
      <c r="AB8" s="54" t="n"/>
      <c r="AC8" s="55" t="n"/>
      <c r="AD8" s="52" t="n"/>
      <c r="AE8" s="53" t="n"/>
      <c r="AF8" s="52" t="n"/>
      <c r="AG8" s="53" t="n"/>
      <c r="AH8" s="52" t="n"/>
      <c r="AI8" s="53" t="n"/>
      <c r="AJ8" s="52" t="n"/>
      <c r="AK8" s="53" t="n"/>
      <c r="AL8" s="52" t="n"/>
      <c r="AM8" s="53" t="n"/>
      <c r="AN8" s="54" t="n"/>
      <c r="AO8" s="55" t="n"/>
      <c r="AP8" s="54" t="n"/>
      <c r="AQ8" s="55" t="n"/>
      <c r="AR8" s="52" t="n"/>
      <c r="AS8" s="53" t="n"/>
      <c r="AT8" s="52" t="n"/>
      <c r="AU8" s="53" t="n"/>
      <c r="AV8" s="52" t="n"/>
      <c r="AW8" s="53" t="n"/>
      <c r="AX8" s="52" t="n"/>
      <c r="AY8" s="53" t="n"/>
      <c r="AZ8" s="52" t="n"/>
      <c r="BA8" s="53" t="n"/>
      <c r="BB8" s="54" t="n"/>
      <c r="BC8" s="55" t="n"/>
      <c r="BD8" s="54" t="n"/>
      <c r="BE8" s="55" t="n"/>
      <c r="BF8" s="52" t="n"/>
      <c r="BG8" s="53" t="n"/>
      <c r="BH8" s="52" t="n"/>
      <c r="BI8" s="53" t="n"/>
      <c r="BJ8" s="52" t="n"/>
      <c r="BK8" s="53" t="n"/>
      <c r="BL8" s="52" t="n"/>
      <c r="BM8" s="53" t="n"/>
      <c r="BN8" s="56">
        <f>IF($A8="","",COUNTIF(D8:BM8,"+"))</f>
        <v/>
      </c>
      <c r="BO8" s="57">
        <f>IF($A8="","",COUNTIF(D8:BM8,"x"))</f>
        <v/>
      </c>
      <c r="BP8" s="57">
        <f>IF($A8="","",COUNTIF(D8:BM8,"-"))</f>
        <v/>
      </c>
      <c r="BQ8" s="58">
        <f>IF($A8="","",BN8+BO8*0.5)</f>
        <v/>
      </c>
      <c r="BR8" s="58">
        <f>IF($A8="","",SUM(E8,G8,I8,K8,M8,O8,Q8,S8,U8,W8,Y8,AA8,AC8,AE8,AG8,AI8,AK8,AM8,AO8,AQ8,AS8,AU8,AW8,AY8,BA8,BC8,BE8,BG8,BI8,BK8,BM8))</f>
        <v/>
      </c>
    </row>
    <row r="9" ht="20" customHeight="1">
      <c r="A9" s="15">
        <f>IF(Personel_Listesi!A8="","",Personel_Listesi!A8)</f>
        <v/>
      </c>
      <c r="B9" s="30">
        <f>IF(Personel_Listesi!B8="","",UPPER(Personel_Listesi!B8))</f>
        <v/>
      </c>
      <c r="C9" s="15">
        <f>IF(Personel_Listesi!C8="","",Personel_Listesi!C8)</f>
        <v/>
      </c>
      <c r="D9" s="59" t="n"/>
      <c r="E9" s="60" t="n"/>
      <c r="F9" s="59" t="n"/>
      <c r="G9" s="60" t="n"/>
      <c r="H9" s="59" t="n"/>
      <c r="I9" s="60" t="n"/>
      <c r="J9" s="59" t="n"/>
      <c r="K9" s="60" t="n"/>
      <c r="L9" s="54" t="n"/>
      <c r="M9" s="55" t="n"/>
      <c r="N9" s="54" t="n"/>
      <c r="O9" s="55" t="n"/>
      <c r="P9" s="59" t="n"/>
      <c r="Q9" s="60" t="n"/>
      <c r="R9" s="59" t="n"/>
      <c r="S9" s="60" t="n"/>
      <c r="T9" s="59" t="n"/>
      <c r="U9" s="60" t="n"/>
      <c r="V9" s="59" t="n"/>
      <c r="W9" s="60" t="n"/>
      <c r="X9" s="59" t="n"/>
      <c r="Y9" s="60" t="n"/>
      <c r="Z9" s="54" t="n"/>
      <c r="AA9" s="55" t="n"/>
      <c r="AB9" s="54" t="n"/>
      <c r="AC9" s="55" t="n"/>
      <c r="AD9" s="59" t="n"/>
      <c r="AE9" s="60" t="n"/>
      <c r="AF9" s="59" t="n"/>
      <c r="AG9" s="60" t="n"/>
      <c r="AH9" s="59" t="n"/>
      <c r="AI9" s="60" t="n"/>
      <c r="AJ9" s="59" t="n"/>
      <c r="AK9" s="60" t="n"/>
      <c r="AL9" s="59" t="n"/>
      <c r="AM9" s="60" t="n"/>
      <c r="AN9" s="54" t="n"/>
      <c r="AO9" s="55" t="n"/>
      <c r="AP9" s="54" t="n"/>
      <c r="AQ9" s="55" t="n"/>
      <c r="AR9" s="59" t="n"/>
      <c r="AS9" s="60" t="n"/>
      <c r="AT9" s="59" t="n"/>
      <c r="AU9" s="60" t="n"/>
      <c r="AV9" s="59" t="n"/>
      <c r="AW9" s="60" t="n"/>
      <c r="AX9" s="59" t="n"/>
      <c r="AY9" s="60" t="n"/>
      <c r="AZ9" s="59" t="n"/>
      <c r="BA9" s="60" t="n"/>
      <c r="BB9" s="54" t="n"/>
      <c r="BC9" s="55" t="n"/>
      <c r="BD9" s="54" t="n"/>
      <c r="BE9" s="55" t="n"/>
      <c r="BF9" s="59" t="n"/>
      <c r="BG9" s="60" t="n"/>
      <c r="BH9" s="59" t="n"/>
      <c r="BI9" s="60" t="n"/>
      <c r="BJ9" s="59" t="n"/>
      <c r="BK9" s="60" t="n"/>
      <c r="BL9" s="59" t="n"/>
      <c r="BM9" s="60" t="n"/>
      <c r="BN9" s="56">
        <f>IF($A9="","",COUNTIF(D9:BM9,"+"))</f>
        <v/>
      </c>
      <c r="BO9" s="57">
        <f>IF($A9="","",COUNTIF(D9:BM9,"x"))</f>
        <v/>
      </c>
      <c r="BP9" s="57">
        <f>IF($A9="","",COUNTIF(D9:BM9,"-"))</f>
        <v/>
      </c>
      <c r="BQ9" s="58">
        <f>IF($A9="","",BN9+BO9*0.5)</f>
        <v/>
      </c>
      <c r="BR9" s="58">
        <f>IF($A9="","",SUM(E9,G9,I9,K9,M9,O9,Q9,S9,U9,W9,Y9,AA9,AC9,AE9,AG9,AI9,AK9,AM9,AO9,AQ9,AS9,AU9,AW9,AY9,BA9,BC9,BE9,BG9,BI9,BK9,BM9))</f>
        <v/>
      </c>
    </row>
    <row r="10" ht="20" customHeight="1">
      <c r="A10" s="11">
        <f>IF(Personel_Listesi!A9="","",Personel_Listesi!A9)</f>
        <v/>
      </c>
      <c r="B10" s="27">
        <f>IF(Personel_Listesi!B9="","",UPPER(Personel_Listesi!B9))</f>
        <v/>
      </c>
      <c r="C10" s="11">
        <f>IF(Personel_Listesi!C9="","",Personel_Listesi!C9)</f>
        <v/>
      </c>
      <c r="D10" s="52" t="n"/>
      <c r="E10" s="53" t="n"/>
      <c r="F10" s="52" t="n"/>
      <c r="G10" s="53" t="n"/>
      <c r="H10" s="52" t="n"/>
      <c r="I10" s="53" t="n"/>
      <c r="J10" s="52" t="n"/>
      <c r="K10" s="53" t="n"/>
      <c r="L10" s="54" t="n"/>
      <c r="M10" s="55" t="n"/>
      <c r="N10" s="54" t="n"/>
      <c r="O10" s="55" t="n"/>
      <c r="P10" s="52" t="n"/>
      <c r="Q10" s="53" t="n"/>
      <c r="R10" s="52" t="n"/>
      <c r="S10" s="53" t="n"/>
      <c r="T10" s="52" t="n"/>
      <c r="U10" s="53" t="n"/>
      <c r="V10" s="52" t="n"/>
      <c r="W10" s="53" t="n"/>
      <c r="X10" s="52" t="n"/>
      <c r="Y10" s="53" t="n"/>
      <c r="Z10" s="54" t="n"/>
      <c r="AA10" s="55" t="n"/>
      <c r="AB10" s="54" t="n"/>
      <c r="AC10" s="55" t="n"/>
      <c r="AD10" s="52" t="n"/>
      <c r="AE10" s="53" t="n"/>
      <c r="AF10" s="52" t="n"/>
      <c r="AG10" s="53" t="n"/>
      <c r="AH10" s="52" t="n"/>
      <c r="AI10" s="53" t="n"/>
      <c r="AJ10" s="52" t="n"/>
      <c r="AK10" s="53" t="n"/>
      <c r="AL10" s="52" t="n"/>
      <c r="AM10" s="53" t="n"/>
      <c r="AN10" s="54" t="n"/>
      <c r="AO10" s="55" t="n"/>
      <c r="AP10" s="54" t="n"/>
      <c r="AQ10" s="55" t="n"/>
      <c r="AR10" s="52" t="n"/>
      <c r="AS10" s="53" t="n"/>
      <c r="AT10" s="52" t="n"/>
      <c r="AU10" s="53" t="n"/>
      <c r="AV10" s="52" t="n"/>
      <c r="AW10" s="53" t="n"/>
      <c r="AX10" s="52" t="n"/>
      <c r="AY10" s="53" t="n"/>
      <c r="AZ10" s="52" t="n"/>
      <c r="BA10" s="53" t="n"/>
      <c r="BB10" s="54" t="n"/>
      <c r="BC10" s="55" t="n"/>
      <c r="BD10" s="54" t="n"/>
      <c r="BE10" s="55" t="n"/>
      <c r="BF10" s="52" t="n"/>
      <c r="BG10" s="53" t="n"/>
      <c r="BH10" s="52" t="n"/>
      <c r="BI10" s="53" t="n"/>
      <c r="BJ10" s="52" t="n"/>
      <c r="BK10" s="53" t="n"/>
      <c r="BL10" s="52" t="n"/>
      <c r="BM10" s="53" t="n"/>
      <c r="BN10" s="56">
        <f>IF($A10="","",COUNTIF(D10:BM10,"+"))</f>
        <v/>
      </c>
      <c r="BO10" s="57">
        <f>IF($A10="","",COUNTIF(D10:BM10,"x"))</f>
        <v/>
      </c>
      <c r="BP10" s="57">
        <f>IF($A10="","",COUNTIF(D10:BM10,"-"))</f>
        <v/>
      </c>
      <c r="BQ10" s="58">
        <f>IF($A10="","",BN10+BO10*0.5)</f>
        <v/>
      </c>
      <c r="BR10" s="58">
        <f>IF($A10="","",SUM(E10,G10,I10,K10,M10,O10,Q10,S10,U10,W10,Y10,AA10,AC10,AE10,AG10,AI10,AK10,AM10,AO10,AQ10,AS10,AU10,AW10,AY10,BA10,BC10,BE10,BG10,BI10,BK10,BM10))</f>
        <v/>
      </c>
    </row>
    <row r="11" ht="20" customHeight="1">
      <c r="A11" s="15">
        <f>IF(Personel_Listesi!A10="","",Personel_Listesi!A10)</f>
        <v/>
      </c>
      <c r="B11" s="30">
        <f>IF(Personel_Listesi!B10="","",UPPER(Personel_Listesi!B10))</f>
        <v/>
      </c>
      <c r="C11" s="15">
        <f>IF(Personel_Listesi!C10="","",Personel_Listesi!C10)</f>
        <v/>
      </c>
      <c r="D11" s="59" t="n"/>
      <c r="E11" s="60" t="n"/>
      <c r="F11" s="59" t="n"/>
      <c r="G11" s="60" t="n"/>
      <c r="H11" s="59" t="n"/>
      <c r="I11" s="60" t="n"/>
      <c r="J11" s="59" t="n"/>
      <c r="K11" s="60" t="n"/>
      <c r="L11" s="54" t="n"/>
      <c r="M11" s="55" t="n"/>
      <c r="N11" s="54" t="n"/>
      <c r="O11" s="55" t="n"/>
      <c r="P11" s="59" t="n"/>
      <c r="Q11" s="60" t="n"/>
      <c r="R11" s="59" t="n"/>
      <c r="S11" s="60" t="n"/>
      <c r="T11" s="59" t="n"/>
      <c r="U11" s="60" t="n"/>
      <c r="V11" s="59" t="n"/>
      <c r="W11" s="60" t="n"/>
      <c r="X11" s="59" t="n"/>
      <c r="Y11" s="60" t="n"/>
      <c r="Z11" s="54" t="n"/>
      <c r="AA11" s="55" t="n"/>
      <c r="AB11" s="54" t="n"/>
      <c r="AC11" s="55" t="n"/>
      <c r="AD11" s="59" t="n"/>
      <c r="AE11" s="60" t="n"/>
      <c r="AF11" s="59" t="n"/>
      <c r="AG11" s="60" t="n"/>
      <c r="AH11" s="59" t="n"/>
      <c r="AI11" s="60" t="n"/>
      <c r="AJ11" s="59" t="n"/>
      <c r="AK11" s="60" t="n"/>
      <c r="AL11" s="59" t="n"/>
      <c r="AM11" s="60" t="n"/>
      <c r="AN11" s="54" t="n"/>
      <c r="AO11" s="55" t="n"/>
      <c r="AP11" s="54" t="n"/>
      <c r="AQ11" s="55" t="n"/>
      <c r="AR11" s="59" t="n"/>
      <c r="AS11" s="60" t="n"/>
      <c r="AT11" s="59" t="n"/>
      <c r="AU11" s="60" t="n"/>
      <c r="AV11" s="59" t="n"/>
      <c r="AW11" s="60" t="n"/>
      <c r="AX11" s="59" t="n"/>
      <c r="AY11" s="60" t="n"/>
      <c r="AZ11" s="59" t="n"/>
      <c r="BA11" s="60" t="n"/>
      <c r="BB11" s="54" t="n"/>
      <c r="BC11" s="55" t="n"/>
      <c r="BD11" s="54" t="n"/>
      <c r="BE11" s="55" t="n"/>
      <c r="BF11" s="59" t="n"/>
      <c r="BG11" s="60" t="n"/>
      <c r="BH11" s="59" t="n"/>
      <c r="BI11" s="60" t="n"/>
      <c r="BJ11" s="59" t="n"/>
      <c r="BK11" s="60" t="n"/>
      <c r="BL11" s="59" t="n"/>
      <c r="BM11" s="60" t="n"/>
      <c r="BN11" s="56">
        <f>IF($A11="","",COUNTIF(D11:BM11,"+"))</f>
        <v/>
      </c>
      <c r="BO11" s="57">
        <f>IF($A11="","",COUNTIF(D11:BM11,"x"))</f>
        <v/>
      </c>
      <c r="BP11" s="57">
        <f>IF($A11="","",COUNTIF(D11:BM11,"-"))</f>
        <v/>
      </c>
      <c r="BQ11" s="58">
        <f>IF($A11="","",BN11+BO11*0.5)</f>
        <v/>
      </c>
      <c r="BR11" s="58">
        <f>IF($A11="","",SUM(E11,G11,I11,K11,M11,O11,Q11,S11,U11,W11,Y11,AA11,AC11,AE11,AG11,AI11,AK11,AM11,AO11,AQ11,AS11,AU11,AW11,AY11,BA11,BC11,BE11,BG11,BI11,BK11,BM11))</f>
        <v/>
      </c>
    </row>
    <row r="12" ht="20" customHeight="1">
      <c r="A12" s="11">
        <f>IF(Personel_Listesi!A11="","",Personel_Listesi!A11)</f>
        <v/>
      </c>
      <c r="B12" s="27">
        <f>IF(Personel_Listesi!B11="","",UPPER(Personel_Listesi!B11))</f>
        <v/>
      </c>
      <c r="C12" s="11">
        <f>IF(Personel_Listesi!C11="","",Personel_Listesi!C11)</f>
        <v/>
      </c>
      <c r="D12" s="52" t="n"/>
      <c r="E12" s="53" t="n"/>
      <c r="F12" s="52" t="n"/>
      <c r="G12" s="53" t="n"/>
      <c r="H12" s="52" t="n"/>
      <c r="I12" s="53" t="n"/>
      <c r="J12" s="52" t="n"/>
      <c r="K12" s="53" t="n"/>
      <c r="L12" s="54" t="n"/>
      <c r="M12" s="55" t="n"/>
      <c r="N12" s="54" t="n"/>
      <c r="O12" s="55" t="n"/>
      <c r="P12" s="52" t="n"/>
      <c r="Q12" s="53" t="n"/>
      <c r="R12" s="52" t="n"/>
      <c r="S12" s="53" t="n"/>
      <c r="T12" s="52" t="n"/>
      <c r="U12" s="53" t="n"/>
      <c r="V12" s="52" t="n"/>
      <c r="W12" s="53" t="n"/>
      <c r="X12" s="52" t="n"/>
      <c r="Y12" s="53" t="n"/>
      <c r="Z12" s="54" t="n"/>
      <c r="AA12" s="55" t="n"/>
      <c r="AB12" s="54" t="n"/>
      <c r="AC12" s="55" t="n"/>
      <c r="AD12" s="52" t="n"/>
      <c r="AE12" s="53" t="n"/>
      <c r="AF12" s="52" t="n"/>
      <c r="AG12" s="53" t="n"/>
      <c r="AH12" s="52" t="n"/>
      <c r="AI12" s="53" t="n"/>
      <c r="AJ12" s="52" t="n"/>
      <c r="AK12" s="53" t="n"/>
      <c r="AL12" s="52" t="n"/>
      <c r="AM12" s="53" t="n"/>
      <c r="AN12" s="54" t="n"/>
      <c r="AO12" s="55" t="n"/>
      <c r="AP12" s="54" t="n"/>
      <c r="AQ12" s="55" t="n"/>
      <c r="AR12" s="52" t="n"/>
      <c r="AS12" s="53" t="n"/>
      <c r="AT12" s="52" t="n"/>
      <c r="AU12" s="53" t="n"/>
      <c r="AV12" s="52" t="n"/>
      <c r="AW12" s="53" t="n"/>
      <c r="AX12" s="52" t="n"/>
      <c r="AY12" s="53" t="n"/>
      <c r="AZ12" s="52" t="n"/>
      <c r="BA12" s="53" t="n"/>
      <c r="BB12" s="54" t="n"/>
      <c r="BC12" s="55" t="n"/>
      <c r="BD12" s="54" t="n"/>
      <c r="BE12" s="55" t="n"/>
      <c r="BF12" s="52" t="n"/>
      <c r="BG12" s="53" t="n"/>
      <c r="BH12" s="52" t="n"/>
      <c r="BI12" s="53" t="n"/>
      <c r="BJ12" s="52" t="n"/>
      <c r="BK12" s="53" t="n"/>
      <c r="BL12" s="52" t="n"/>
      <c r="BM12" s="53" t="n"/>
      <c r="BN12" s="56">
        <f>IF($A12="","",COUNTIF(D12:BM12,"+"))</f>
        <v/>
      </c>
      <c r="BO12" s="57">
        <f>IF($A12="","",COUNTIF(D12:BM12,"x"))</f>
        <v/>
      </c>
      <c r="BP12" s="57">
        <f>IF($A12="","",COUNTIF(D12:BM12,"-"))</f>
        <v/>
      </c>
      <c r="BQ12" s="58">
        <f>IF($A12="","",BN12+BO12*0.5)</f>
        <v/>
      </c>
      <c r="BR12" s="58">
        <f>IF($A12="","",SUM(E12,G12,I12,K12,M12,O12,Q12,S12,U12,W12,Y12,AA12,AC12,AE12,AG12,AI12,AK12,AM12,AO12,AQ12,AS12,AU12,AW12,AY12,BA12,BC12,BE12,BG12,BI12,BK12,BM12))</f>
        <v/>
      </c>
    </row>
    <row r="13" ht="20" customHeight="1">
      <c r="A13" s="15">
        <f>IF(Personel_Listesi!A12="","",Personel_Listesi!A12)</f>
        <v/>
      </c>
      <c r="B13" s="30">
        <f>IF(Personel_Listesi!B12="","",UPPER(Personel_Listesi!B12))</f>
        <v/>
      </c>
      <c r="C13" s="15">
        <f>IF(Personel_Listesi!C12="","",Personel_Listesi!C12)</f>
        <v/>
      </c>
      <c r="D13" s="59" t="n"/>
      <c r="E13" s="60" t="n"/>
      <c r="F13" s="59" t="n"/>
      <c r="G13" s="60" t="n"/>
      <c r="H13" s="59" t="n"/>
      <c r="I13" s="60" t="n"/>
      <c r="J13" s="59" t="n"/>
      <c r="K13" s="60" t="n"/>
      <c r="L13" s="54" t="n"/>
      <c r="M13" s="55" t="n"/>
      <c r="N13" s="54" t="n"/>
      <c r="O13" s="55" t="n"/>
      <c r="P13" s="59" t="n"/>
      <c r="Q13" s="60" t="n"/>
      <c r="R13" s="59" t="n"/>
      <c r="S13" s="60" t="n"/>
      <c r="T13" s="59" t="n"/>
      <c r="U13" s="60" t="n"/>
      <c r="V13" s="59" t="n"/>
      <c r="W13" s="60" t="n"/>
      <c r="X13" s="59" t="n"/>
      <c r="Y13" s="60" t="n"/>
      <c r="Z13" s="54" t="n"/>
      <c r="AA13" s="55" t="n"/>
      <c r="AB13" s="54" t="n"/>
      <c r="AC13" s="55" t="n"/>
      <c r="AD13" s="59" t="n"/>
      <c r="AE13" s="60" t="n"/>
      <c r="AF13" s="59" t="n"/>
      <c r="AG13" s="60" t="n"/>
      <c r="AH13" s="59" t="n"/>
      <c r="AI13" s="60" t="n"/>
      <c r="AJ13" s="59" t="n"/>
      <c r="AK13" s="60" t="n"/>
      <c r="AL13" s="59" t="n"/>
      <c r="AM13" s="60" t="n"/>
      <c r="AN13" s="54" t="n"/>
      <c r="AO13" s="55" t="n"/>
      <c r="AP13" s="54" t="n"/>
      <c r="AQ13" s="55" t="n"/>
      <c r="AR13" s="59" t="n"/>
      <c r="AS13" s="60" t="n"/>
      <c r="AT13" s="59" t="n"/>
      <c r="AU13" s="60" t="n"/>
      <c r="AV13" s="59" t="n"/>
      <c r="AW13" s="60" t="n"/>
      <c r="AX13" s="59" t="n"/>
      <c r="AY13" s="60" t="n"/>
      <c r="AZ13" s="59" t="n"/>
      <c r="BA13" s="60" t="n"/>
      <c r="BB13" s="54" t="n"/>
      <c r="BC13" s="55" t="n"/>
      <c r="BD13" s="54" t="n"/>
      <c r="BE13" s="55" t="n"/>
      <c r="BF13" s="59" t="n"/>
      <c r="BG13" s="60" t="n"/>
      <c r="BH13" s="59" t="n"/>
      <c r="BI13" s="60" t="n"/>
      <c r="BJ13" s="59" t="n"/>
      <c r="BK13" s="60" t="n"/>
      <c r="BL13" s="59" t="n"/>
      <c r="BM13" s="60" t="n"/>
      <c r="BN13" s="56">
        <f>IF($A13="","",COUNTIF(D13:BM13,"+"))</f>
        <v/>
      </c>
      <c r="BO13" s="57">
        <f>IF($A13="","",COUNTIF(D13:BM13,"x"))</f>
        <v/>
      </c>
      <c r="BP13" s="57">
        <f>IF($A13="","",COUNTIF(D13:BM13,"-"))</f>
        <v/>
      </c>
      <c r="BQ13" s="58">
        <f>IF($A13="","",BN13+BO13*0.5)</f>
        <v/>
      </c>
      <c r="BR13" s="58">
        <f>IF($A13="","",SUM(E13,G13,I13,K13,M13,O13,Q13,S13,U13,W13,Y13,AA13,AC13,AE13,AG13,AI13,AK13,AM13,AO13,AQ13,AS13,AU13,AW13,AY13,BA13,BC13,BE13,BG13,BI13,BK13,BM13))</f>
        <v/>
      </c>
    </row>
    <row r="14" ht="20" customHeight="1">
      <c r="A14" s="11">
        <f>IF(Personel_Listesi!A13="","",Personel_Listesi!A13)</f>
        <v/>
      </c>
      <c r="B14" s="27">
        <f>IF(Personel_Listesi!B13="","",UPPER(Personel_Listesi!B13))</f>
        <v/>
      </c>
      <c r="C14" s="11">
        <f>IF(Personel_Listesi!C13="","",Personel_Listesi!C13)</f>
        <v/>
      </c>
      <c r="D14" s="52" t="n"/>
      <c r="E14" s="53" t="n"/>
      <c r="F14" s="52" t="n"/>
      <c r="G14" s="53" t="n"/>
      <c r="H14" s="52" t="n"/>
      <c r="I14" s="53" t="n"/>
      <c r="J14" s="52" t="n"/>
      <c r="K14" s="53" t="n"/>
      <c r="L14" s="54" t="n"/>
      <c r="M14" s="55" t="n"/>
      <c r="N14" s="54" t="n"/>
      <c r="O14" s="55" t="n"/>
      <c r="P14" s="52" t="n"/>
      <c r="Q14" s="53" t="n"/>
      <c r="R14" s="52" t="n"/>
      <c r="S14" s="53" t="n"/>
      <c r="T14" s="52" t="n"/>
      <c r="U14" s="53" t="n"/>
      <c r="V14" s="52" t="n"/>
      <c r="W14" s="53" t="n"/>
      <c r="X14" s="52" t="n"/>
      <c r="Y14" s="53" t="n"/>
      <c r="Z14" s="54" t="n"/>
      <c r="AA14" s="55" t="n"/>
      <c r="AB14" s="54" t="n"/>
      <c r="AC14" s="55" t="n"/>
      <c r="AD14" s="52" t="n"/>
      <c r="AE14" s="53" t="n"/>
      <c r="AF14" s="52" t="n"/>
      <c r="AG14" s="53" t="n"/>
      <c r="AH14" s="52" t="n"/>
      <c r="AI14" s="53" t="n"/>
      <c r="AJ14" s="52" t="n"/>
      <c r="AK14" s="53" t="n"/>
      <c r="AL14" s="52" t="n"/>
      <c r="AM14" s="53" t="n"/>
      <c r="AN14" s="54" t="n"/>
      <c r="AO14" s="55" t="n"/>
      <c r="AP14" s="54" t="n"/>
      <c r="AQ14" s="55" t="n"/>
      <c r="AR14" s="52" t="n"/>
      <c r="AS14" s="53" t="n"/>
      <c r="AT14" s="52" t="n"/>
      <c r="AU14" s="53" t="n"/>
      <c r="AV14" s="52" t="n"/>
      <c r="AW14" s="53" t="n"/>
      <c r="AX14" s="52" t="n"/>
      <c r="AY14" s="53" t="n"/>
      <c r="AZ14" s="52" t="n"/>
      <c r="BA14" s="53" t="n"/>
      <c r="BB14" s="54" t="n"/>
      <c r="BC14" s="55" t="n"/>
      <c r="BD14" s="54" t="n"/>
      <c r="BE14" s="55" t="n"/>
      <c r="BF14" s="52" t="n"/>
      <c r="BG14" s="53" t="n"/>
      <c r="BH14" s="52" t="n"/>
      <c r="BI14" s="53" t="n"/>
      <c r="BJ14" s="52" t="n"/>
      <c r="BK14" s="53" t="n"/>
      <c r="BL14" s="52" t="n"/>
      <c r="BM14" s="53" t="n"/>
      <c r="BN14" s="56">
        <f>IF($A14="","",COUNTIF(D14:BM14,"+"))</f>
        <v/>
      </c>
      <c r="BO14" s="57">
        <f>IF($A14="","",COUNTIF(D14:BM14,"x"))</f>
        <v/>
      </c>
      <c r="BP14" s="57">
        <f>IF($A14="","",COUNTIF(D14:BM14,"-"))</f>
        <v/>
      </c>
      <c r="BQ14" s="58">
        <f>IF($A14="","",BN14+BO14*0.5)</f>
        <v/>
      </c>
      <c r="BR14" s="58">
        <f>IF($A14="","",SUM(E14,G14,I14,K14,M14,O14,Q14,S14,U14,W14,Y14,AA14,AC14,AE14,AG14,AI14,AK14,AM14,AO14,AQ14,AS14,AU14,AW14,AY14,BA14,BC14,BE14,BG14,BI14,BK14,BM14))</f>
        <v/>
      </c>
    </row>
    <row r="15" ht="20" customHeight="1">
      <c r="A15" s="15">
        <f>IF(Personel_Listesi!A14="","",Personel_Listesi!A14)</f>
        <v/>
      </c>
      <c r="B15" s="30">
        <f>IF(Personel_Listesi!B14="","",UPPER(Personel_Listesi!B14))</f>
        <v/>
      </c>
      <c r="C15" s="15">
        <f>IF(Personel_Listesi!C14="","",Personel_Listesi!C14)</f>
        <v/>
      </c>
      <c r="D15" s="59" t="n"/>
      <c r="E15" s="60" t="n"/>
      <c r="F15" s="59" t="n"/>
      <c r="G15" s="60" t="n"/>
      <c r="H15" s="59" t="n"/>
      <c r="I15" s="60" t="n"/>
      <c r="J15" s="59" t="n"/>
      <c r="K15" s="60" t="n"/>
      <c r="L15" s="54" t="n"/>
      <c r="M15" s="55" t="n"/>
      <c r="N15" s="54" t="n"/>
      <c r="O15" s="55" t="n"/>
      <c r="P15" s="59" t="n"/>
      <c r="Q15" s="60" t="n"/>
      <c r="R15" s="59" t="n"/>
      <c r="S15" s="60" t="n"/>
      <c r="T15" s="59" t="n"/>
      <c r="U15" s="60" t="n"/>
      <c r="V15" s="59" t="n"/>
      <c r="W15" s="60" t="n"/>
      <c r="X15" s="59" t="n"/>
      <c r="Y15" s="60" t="n"/>
      <c r="Z15" s="54" t="n"/>
      <c r="AA15" s="55" t="n"/>
      <c r="AB15" s="54" t="n"/>
      <c r="AC15" s="55" t="n"/>
      <c r="AD15" s="59" t="n"/>
      <c r="AE15" s="60" t="n"/>
      <c r="AF15" s="59" t="n"/>
      <c r="AG15" s="60" t="n"/>
      <c r="AH15" s="59" t="n"/>
      <c r="AI15" s="60" t="n"/>
      <c r="AJ15" s="59" t="n"/>
      <c r="AK15" s="60" t="n"/>
      <c r="AL15" s="59" t="n"/>
      <c r="AM15" s="60" t="n"/>
      <c r="AN15" s="54" t="n"/>
      <c r="AO15" s="55" t="n"/>
      <c r="AP15" s="54" t="n"/>
      <c r="AQ15" s="55" t="n"/>
      <c r="AR15" s="59" t="n"/>
      <c r="AS15" s="60" t="n"/>
      <c r="AT15" s="59" t="n"/>
      <c r="AU15" s="60" t="n"/>
      <c r="AV15" s="59" t="n"/>
      <c r="AW15" s="60" t="n"/>
      <c r="AX15" s="59" t="n"/>
      <c r="AY15" s="60" t="n"/>
      <c r="AZ15" s="59" t="n"/>
      <c r="BA15" s="60" t="n"/>
      <c r="BB15" s="54" t="n"/>
      <c r="BC15" s="55" t="n"/>
      <c r="BD15" s="54" t="n"/>
      <c r="BE15" s="55" t="n"/>
      <c r="BF15" s="59" t="n"/>
      <c r="BG15" s="60" t="n"/>
      <c r="BH15" s="59" t="n"/>
      <c r="BI15" s="60" t="n"/>
      <c r="BJ15" s="59" t="n"/>
      <c r="BK15" s="60" t="n"/>
      <c r="BL15" s="59" t="n"/>
      <c r="BM15" s="60" t="n"/>
      <c r="BN15" s="56">
        <f>IF($A15="","",COUNTIF(D15:BM15,"+"))</f>
        <v/>
      </c>
      <c r="BO15" s="57">
        <f>IF($A15="","",COUNTIF(D15:BM15,"x"))</f>
        <v/>
      </c>
      <c r="BP15" s="57">
        <f>IF($A15="","",COUNTIF(D15:BM15,"-"))</f>
        <v/>
      </c>
      <c r="BQ15" s="58">
        <f>IF($A15="","",BN15+BO15*0.5)</f>
        <v/>
      </c>
      <c r="BR15" s="58">
        <f>IF($A15="","",SUM(E15,G15,I15,K15,M15,O15,Q15,S15,U15,W15,Y15,AA15,AC15,AE15,AG15,AI15,AK15,AM15,AO15,AQ15,AS15,AU15,AW15,AY15,BA15,BC15,BE15,BG15,BI15,BK15,BM15))</f>
        <v/>
      </c>
    </row>
    <row r="16" ht="20" customHeight="1">
      <c r="A16" s="11">
        <f>IF(Personel_Listesi!A15="","",Personel_Listesi!A15)</f>
        <v/>
      </c>
      <c r="B16" s="27">
        <f>IF(Personel_Listesi!B15="","",UPPER(Personel_Listesi!B15))</f>
        <v/>
      </c>
      <c r="C16" s="11">
        <f>IF(Personel_Listesi!C15="","",Personel_Listesi!C15)</f>
        <v/>
      </c>
      <c r="D16" s="52" t="n"/>
      <c r="E16" s="53" t="n"/>
      <c r="F16" s="52" t="n"/>
      <c r="G16" s="53" t="n"/>
      <c r="H16" s="52" t="n"/>
      <c r="I16" s="53" t="n"/>
      <c r="J16" s="52" t="n"/>
      <c r="K16" s="53" t="n"/>
      <c r="L16" s="54" t="n"/>
      <c r="M16" s="55" t="n"/>
      <c r="N16" s="54" t="n"/>
      <c r="O16" s="55" t="n"/>
      <c r="P16" s="52" t="n"/>
      <c r="Q16" s="53" t="n"/>
      <c r="R16" s="52" t="n"/>
      <c r="S16" s="53" t="n"/>
      <c r="T16" s="52" t="n"/>
      <c r="U16" s="53" t="n"/>
      <c r="V16" s="52" t="n"/>
      <c r="W16" s="53" t="n"/>
      <c r="X16" s="52" t="n"/>
      <c r="Y16" s="53" t="n"/>
      <c r="Z16" s="54" t="n"/>
      <c r="AA16" s="55" t="n"/>
      <c r="AB16" s="54" t="n"/>
      <c r="AC16" s="55" t="n"/>
      <c r="AD16" s="52" t="n"/>
      <c r="AE16" s="53" t="n"/>
      <c r="AF16" s="52" t="n"/>
      <c r="AG16" s="53" t="n"/>
      <c r="AH16" s="52" t="n"/>
      <c r="AI16" s="53" t="n"/>
      <c r="AJ16" s="52" t="n"/>
      <c r="AK16" s="53" t="n"/>
      <c r="AL16" s="52" t="n"/>
      <c r="AM16" s="53" t="n"/>
      <c r="AN16" s="54" t="n"/>
      <c r="AO16" s="55" t="n"/>
      <c r="AP16" s="54" t="n"/>
      <c r="AQ16" s="55" t="n"/>
      <c r="AR16" s="52" t="n"/>
      <c r="AS16" s="53" t="n"/>
      <c r="AT16" s="52" t="n"/>
      <c r="AU16" s="53" t="n"/>
      <c r="AV16" s="52" t="n"/>
      <c r="AW16" s="53" t="n"/>
      <c r="AX16" s="52" t="n"/>
      <c r="AY16" s="53" t="n"/>
      <c r="AZ16" s="52" t="n"/>
      <c r="BA16" s="53" t="n"/>
      <c r="BB16" s="54" t="n"/>
      <c r="BC16" s="55" t="n"/>
      <c r="BD16" s="54" t="n"/>
      <c r="BE16" s="55" t="n"/>
      <c r="BF16" s="52" t="n"/>
      <c r="BG16" s="53" t="n"/>
      <c r="BH16" s="52" t="n"/>
      <c r="BI16" s="53" t="n"/>
      <c r="BJ16" s="52" t="n"/>
      <c r="BK16" s="53" t="n"/>
      <c r="BL16" s="52" t="n"/>
      <c r="BM16" s="53" t="n"/>
      <c r="BN16" s="56">
        <f>IF($A16="","",COUNTIF(D16:BM16,"+"))</f>
        <v/>
      </c>
      <c r="BO16" s="57">
        <f>IF($A16="","",COUNTIF(D16:BM16,"x"))</f>
        <v/>
      </c>
      <c r="BP16" s="57">
        <f>IF($A16="","",COUNTIF(D16:BM16,"-"))</f>
        <v/>
      </c>
      <c r="BQ16" s="58">
        <f>IF($A16="","",BN16+BO16*0.5)</f>
        <v/>
      </c>
      <c r="BR16" s="58">
        <f>IF($A16="","",SUM(E16,G16,I16,K16,M16,O16,Q16,S16,U16,W16,Y16,AA16,AC16,AE16,AG16,AI16,AK16,AM16,AO16,AQ16,AS16,AU16,AW16,AY16,BA16,BC16,BE16,BG16,BI16,BK16,BM16))</f>
        <v/>
      </c>
    </row>
    <row r="17" ht="20" customHeight="1">
      <c r="A17" s="15">
        <f>IF(Personel_Listesi!A16="","",Personel_Listesi!A16)</f>
        <v/>
      </c>
      <c r="B17" s="30">
        <f>IF(Personel_Listesi!B16="","",UPPER(Personel_Listesi!B16))</f>
        <v/>
      </c>
      <c r="C17" s="15">
        <f>IF(Personel_Listesi!C16="","",Personel_Listesi!C16)</f>
        <v/>
      </c>
      <c r="D17" s="59" t="n"/>
      <c r="E17" s="60" t="n"/>
      <c r="F17" s="59" t="n"/>
      <c r="G17" s="60" t="n"/>
      <c r="H17" s="59" t="n"/>
      <c r="I17" s="60" t="n"/>
      <c r="J17" s="59" t="n"/>
      <c r="K17" s="60" t="n"/>
      <c r="L17" s="54" t="n"/>
      <c r="M17" s="55" t="n"/>
      <c r="N17" s="54" t="n"/>
      <c r="O17" s="55" t="n"/>
      <c r="P17" s="59" t="n"/>
      <c r="Q17" s="60" t="n"/>
      <c r="R17" s="59" t="n"/>
      <c r="S17" s="60" t="n"/>
      <c r="T17" s="59" t="n"/>
      <c r="U17" s="60" t="n"/>
      <c r="V17" s="59" t="n"/>
      <c r="W17" s="60" t="n"/>
      <c r="X17" s="59" t="n"/>
      <c r="Y17" s="60" t="n"/>
      <c r="Z17" s="54" t="n"/>
      <c r="AA17" s="55" t="n"/>
      <c r="AB17" s="54" t="n"/>
      <c r="AC17" s="55" t="n"/>
      <c r="AD17" s="59" t="n"/>
      <c r="AE17" s="60" t="n"/>
      <c r="AF17" s="59" t="n"/>
      <c r="AG17" s="60" t="n"/>
      <c r="AH17" s="59" t="n"/>
      <c r="AI17" s="60" t="n"/>
      <c r="AJ17" s="59" t="n"/>
      <c r="AK17" s="60" t="n"/>
      <c r="AL17" s="59" t="n"/>
      <c r="AM17" s="60" t="n"/>
      <c r="AN17" s="54" t="n"/>
      <c r="AO17" s="55" t="n"/>
      <c r="AP17" s="54" t="n"/>
      <c r="AQ17" s="55" t="n"/>
      <c r="AR17" s="59" t="n"/>
      <c r="AS17" s="60" t="n"/>
      <c r="AT17" s="59" t="n"/>
      <c r="AU17" s="60" t="n"/>
      <c r="AV17" s="59" t="n"/>
      <c r="AW17" s="60" t="n"/>
      <c r="AX17" s="59" t="n"/>
      <c r="AY17" s="60" t="n"/>
      <c r="AZ17" s="59" t="n"/>
      <c r="BA17" s="60" t="n"/>
      <c r="BB17" s="54" t="n"/>
      <c r="BC17" s="55" t="n"/>
      <c r="BD17" s="54" t="n"/>
      <c r="BE17" s="55" t="n"/>
      <c r="BF17" s="59" t="n"/>
      <c r="BG17" s="60" t="n"/>
      <c r="BH17" s="59" t="n"/>
      <c r="BI17" s="60" t="n"/>
      <c r="BJ17" s="59" t="n"/>
      <c r="BK17" s="60" t="n"/>
      <c r="BL17" s="59" t="n"/>
      <c r="BM17" s="60" t="n"/>
      <c r="BN17" s="56">
        <f>IF($A17="","",COUNTIF(D17:BM17,"+"))</f>
        <v/>
      </c>
      <c r="BO17" s="57">
        <f>IF($A17="","",COUNTIF(D17:BM17,"x"))</f>
        <v/>
      </c>
      <c r="BP17" s="57">
        <f>IF($A17="","",COUNTIF(D17:BM17,"-"))</f>
        <v/>
      </c>
      <c r="BQ17" s="58">
        <f>IF($A17="","",BN17+BO17*0.5)</f>
        <v/>
      </c>
      <c r="BR17" s="58">
        <f>IF($A17="","",SUM(E17,G17,I17,K17,M17,O17,Q17,S17,U17,W17,Y17,AA17,AC17,AE17,AG17,AI17,AK17,AM17,AO17,AQ17,AS17,AU17,AW17,AY17,BA17,BC17,BE17,BG17,BI17,BK17,BM17))</f>
        <v/>
      </c>
    </row>
    <row r="18" ht="20" customHeight="1">
      <c r="A18" s="11">
        <f>IF(Personel_Listesi!A17="","",Personel_Listesi!A17)</f>
        <v/>
      </c>
      <c r="B18" s="27">
        <f>IF(Personel_Listesi!B17="","",UPPER(Personel_Listesi!B17))</f>
        <v/>
      </c>
      <c r="C18" s="11">
        <f>IF(Personel_Listesi!C17="","",Personel_Listesi!C17)</f>
        <v/>
      </c>
      <c r="D18" s="52" t="n"/>
      <c r="E18" s="53" t="n"/>
      <c r="F18" s="52" t="n"/>
      <c r="G18" s="53" t="n"/>
      <c r="H18" s="52" t="n"/>
      <c r="I18" s="53" t="n"/>
      <c r="J18" s="52" t="n"/>
      <c r="K18" s="53" t="n"/>
      <c r="L18" s="54" t="n"/>
      <c r="M18" s="55" t="n"/>
      <c r="N18" s="54" t="n"/>
      <c r="O18" s="55" t="n"/>
      <c r="P18" s="52" t="n"/>
      <c r="Q18" s="53" t="n"/>
      <c r="R18" s="52" t="n"/>
      <c r="S18" s="53" t="n"/>
      <c r="T18" s="52" t="n"/>
      <c r="U18" s="53" t="n"/>
      <c r="V18" s="52" t="n"/>
      <c r="W18" s="53" t="n"/>
      <c r="X18" s="52" t="n"/>
      <c r="Y18" s="53" t="n"/>
      <c r="Z18" s="54" t="n"/>
      <c r="AA18" s="55" t="n"/>
      <c r="AB18" s="54" t="n"/>
      <c r="AC18" s="55" t="n"/>
      <c r="AD18" s="52" t="n"/>
      <c r="AE18" s="53" t="n"/>
      <c r="AF18" s="52" t="n"/>
      <c r="AG18" s="53" t="n"/>
      <c r="AH18" s="52" t="n"/>
      <c r="AI18" s="53" t="n"/>
      <c r="AJ18" s="52" t="n"/>
      <c r="AK18" s="53" t="n"/>
      <c r="AL18" s="52" t="n"/>
      <c r="AM18" s="53" t="n"/>
      <c r="AN18" s="54" t="n"/>
      <c r="AO18" s="55" t="n"/>
      <c r="AP18" s="54" t="n"/>
      <c r="AQ18" s="55" t="n"/>
      <c r="AR18" s="52" t="n"/>
      <c r="AS18" s="53" t="n"/>
      <c r="AT18" s="52" t="n"/>
      <c r="AU18" s="53" t="n"/>
      <c r="AV18" s="52" t="n"/>
      <c r="AW18" s="53" t="n"/>
      <c r="AX18" s="52" t="n"/>
      <c r="AY18" s="53" t="n"/>
      <c r="AZ18" s="52" t="n"/>
      <c r="BA18" s="53" t="n"/>
      <c r="BB18" s="54" t="n"/>
      <c r="BC18" s="55" t="n"/>
      <c r="BD18" s="54" t="n"/>
      <c r="BE18" s="55" t="n"/>
      <c r="BF18" s="52" t="n"/>
      <c r="BG18" s="53" t="n"/>
      <c r="BH18" s="52" t="n"/>
      <c r="BI18" s="53" t="n"/>
      <c r="BJ18" s="52" t="n"/>
      <c r="BK18" s="53" t="n"/>
      <c r="BL18" s="52" t="n"/>
      <c r="BM18" s="53" t="n"/>
      <c r="BN18" s="56">
        <f>IF($A18="","",COUNTIF(D18:BM18,"+"))</f>
        <v/>
      </c>
      <c r="BO18" s="57">
        <f>IF($A18="","",COUNTIF(D18:BM18,"x"))</f>
        <v/>
      </c>
      <c r="BP18" s="57">
        <f>IF($A18="","",COUNTIF(D18:BM18,"-"))</f>
        <v/>
      </c>
      <c r="BQ18" s="58">
        <f>IF($A18="","",BN18+BO18*0.5)</f>
        <v/>
      </c>
      <c r="BR18" s="58">
        <f>IF($A18="","",SUM(E18,G18,I18,K18,M18,O18,Q18,S18,U18,W18,Y18,AA18,AC18,AE18,AG18,AI18,AK18,AM18,AO18,AQ18,AS18,AU18,AW18,AY18,BA18,BC18,BE18,BG18,BI18,BK18,BM18))</f>
        <v/>
      </c>
    </row>
    <row r="19" ht="20" customHeight="1">
      <c r="A19" s="15">
        <f>IF(Personel_Listesi!A18="","",Personel_Listesi!A18)</f>
        <v/>
      </c>
      <c r="B19" s="30">
        <f>IF(Personel_Listesi!B18="","",UPPER(Personel_Listesi!B18))</f>
        <v/>
      </c>
      <c r="C19" s="15">
        <f>IF(Personel_Listesi!C18="","",Personel_Listesi!C18)</f>
        <v/>
      </c>
      <c r="D19" s="59" t="n"/>
      <c r="E19" s="60" t="n"/>
      <c r="F19" s="59" t="n"/>
      <c r="G19" s="60" t="n"/>
      <c r="H19" s="59" t="n"/>
      <c r="I19" s="60" t="n"/>
      <c r="J19" s="59" t="n"/>
      <c r="K19" s="60" t="n"/>
      <c r="L19" s="54" t="n"/>
      <c r="M19" s="55" t="n"/>
      <c r="N19" s="54" t="n"/>
      <c r="O19" s="55" t="n"/>
      <c r="P19" s="59" t="n"/>
      <c r="Q19" s="60" t="n"/>
      <c r="R19" s="59" t="n"/>
      <c r="S19" s="60" t="n"/>
      <c r="T19" s="59" t="n"/>
      <c r="U19" s="60" t="n"/>
      <c r="V19" s="59" t="n"/>
      <c r="W19" s="60" t="n"/>
      <c r="X19" s="59" t="n"/>
      <c r="Y19" s="60" t="n"/>
      <c r="Z19" s="54" t="n"/>
      <c r="AA19" s="55" t="n"/>
      <c r="AB19" s="54" t="n"/>
      <c r="AC19" s="55" t="n"/>
      <c r="AD19" s="59" t="n"/>
      <c r="AE19" s="60" t="n"/>
      <c r="AF19" s="59" t="n"/>
      <c r="AG19" s="60" t="n"/>
      <c r="AH19" s="59" t="n"/>
      <c r="AI19" s="60" t="n"/>
      <c r="AJ19" s="59" t="n"/>
      <c r="AK19" s="60" t="n"/>
      <c r="AL19" s="59" t="n"/>
      <c r="AM19" s="60" t="n"/>
      <c r="AN19" s="54" t="n"/>
      <c r="AO19" s="55" t="n"/>
      <c r="AP19" s="54" t="n"/>
      <c r="AQ19" s="55" t="n"/>
      <c r="AR19" s="59" t="n"/>
      <c r="AS19" s="60" t="n"/>
      <c r="AT19" s="59" t="n"/>
      <c r="AU19" s="60" t="n"/>
      <c r="AV19" s="59" t="n"/>
      <c r="AW19" s="60" t="n"/>
      <c r="AX19" s="59" t="n"/>
      <c r="AY19" s="60" t="n"/>
      <c r="AZ19" s="59" t="n"/>
      <c r="BA19" s="60" t="n"/>
      <c r="BB19" s="54" t="n"/>
      <c r="BC19" s="55" t="n"/>
      <c r="BD19" s="54" t="n"/>
      <c r="BE19" s="55" t="n"/>
      <c r="BF19" s="59" t="n"/>
      <c r="BG19" s="60" t="n"/>
      <c r="BH19" s="59" t="n"/>
      <c r="BI19" s="60" t="n"/>
      <c r="BJ19" s="59" t="n"/>
      <c r="BK19" s="60" t="n"/>
      <c r="BL19" s="59" t="n"/>
      <c r="BM19" s="60" t="n"/>
      <c r="BN19" s="56">
        <f>IF($A19="","",COUNTIF(D19:BM19,"+"))</f>
        <v/>
      </c>
      <c r="BO19" s="57">
        <f>IF($A19="","",COUNTIF(D19:BM19,"x"))</f>
        <v/>
      </c>
      <c r="BP19" s="57">
        <f>IF($A19="","",COUNTIF(D19:BM19,"-"))</f>
        <v/>
      </c>
      <c r="BQ19" s="58">
        <f>IF($A19="","",BN19+BO19*0.5)</f>
        <v/>
      </c>
      <c r="BR19" s="58">
        <f>IF($A19="","",SUM(E19,G19,I19,K19,M19,O19,Q19,S19,U19,W19,Y19,AA19,AC19,AE19,AG19,AI19,AK19,AM19,AO19,AQ19,AS19,AU19,AW19,AY19,BA19,BC19,BE19,BG19,BI19,BK19,BM19))</f>
        <v/>
      </c>
    </row>
    <row r="20" ht="20" customHeight="1">
      <c r="A20" s="11">
        <f>IF(Personel_Listesi!A19="","",Personel_Listesi!A19)</f>
        <v/>
      </c>
      <c r="B20" s="27">
        <f>IF(Personel_Listesi!B19="","",UPPER(Personel_Listesi!B19))</f>
        <v/>
      </c>
      <c r="C20" s="11">
        <f>IF(Personel_Listesi!C19="","",Personel_Listesi!C19)</f>
        <v/>
      </c>
      <c r="D20" s="52" t="n"/>
      <c r="E20" s="53" t="n"/>
      <c r="F20" s="52" t="n"/>
      <c r="G20" s="53" t="n"/>
      <c r="H20" s="52" t="n"/>
      <c r="I20" s="53" t="n"/>
      <c r="J20" s="52" t="n"/>
      <c r="K20" s="53" t="n"/>
      <c r="L20" s="54" t="n"/>
      <c r="M20" s="55" t="n"/>
      <c r="N20" s="54" t="n"/>
      <c r="O20" s="55" t="n"/>
      <c r="P20" s="52" t="n"/>
      <c r="Q20" s="53" t="n"/>
      <c r="R20" s="52" t="n"/>
      <c r="S20" s="53" t="n"/>
      <c r="T20" s="52" t="n"/>
      <c r="U20" s="53" t="n"/>
      <c r="V20" s="52" t="n"/>
      <c r="W20" s="53" t="n"/>
      <c r="X20" s="52" t="n"/>
      <c r="Y20" s="53" t="n"/>
      <c r="Z20" s="54" t="n"/>
      <c r="AA20" s="55" t="n"/>
      <c r="AB20" s="54" t="n"/>
      <c r="AC20" s="55" t="n"/>
      <c r="AD20" s="52" t="n"/>
      <c r="AE20" s="53" t="n"/>
      <c r="AF20" s="52" t="n"/>
      <c r="AG20" s="53" t="n"/>
      <c r="AH20" s="52" t="n"/>
      <c r="AI20" s="53" t="n"/>
      <c r="AJ20" s="52" t="n"/>
      <c r="AK20" s="53" t="n"/>
      <c r="AL20" s="52" t="n"/>
      <c r="AM20" s="53" t="n"/>
      <c r="AN20" s="54" t="n"/>
      <c r="AO20" s="55" t="n"/>
      <c r="AP20" s="54" t="n"/>
      <c r="AQ20" s="55" t="n"/>
      <c r="AR20" s="52" t="n"/>
      <c r="AS20" s="53" t="n"/>
      <c r="AT20" s="52" t="n"/>
      <c r="AU20" s="53" t="n"/>
      <c r="AV20" s="52" t="n"/>
      <c r="AW20" s="53" t="n"/>
      <c r="AX20" s="52" t="n"/>
      <c r="AY20" s="53" t="n"/>
      <c r="AZ20" s="52" t="n"/>
      <c r="BA20" s="53" t="n"/>
      <c r="BB20" s="54" t="n"/>
      <c r="BC20" s="55" t="n"/>
      <c r="BD20" s="54" t="n"/>
      <c r="BE20" s="55" t="n"/>
      <c r="BF20" s="52" t="n"/>
      <c r="BG20" s="53" t="n"/>
      <c r="BH20" s="52" t="n"/>
      <c r="BI20" s="53" t="n"/>
      <c r="BJ20" s="52" t="n"/>
      <c r="BK20" s="53" t="n"/>
      <c r="BL20" s="52" t="n"/>
      <c r="BM20" s="53" t="n"/>
      <c r="BN20" s="56">
        <f>IF($A20="","",COUNTIF(D20:BM20,"+"))</f>
        <v/>
      </c>
      <c r="BO20" s="57">
        <f>IF($A20="","",COUNTIF(D20:BM20,"x"))</f>
        <v/>
      </c>
      <c r="BP20" s="57">
        <f>IF($A20="","",COUNTIF(D20:BM20,"-"))</f>
        <v/>
      </c>
      <c r="BQ20" s="58">
        <f>IF($A20="","",BN20+BO20*0.5)</f>
        <v/>
      </c>
      <c r="BR20" s="58">
        <f>IF($A20="","",SUM(E20,G20,I20,K20,M20,O20,Q20,S20,U20,W20,Y20,AA20,AC20,AE20,AG20,AI20,AK20,AM20,AO20,AQ20,AS20,AU20,AW20,AY20,BA20,BC20,BE20,BG20,BI20,BK20,BM20))</f>
        <v/>
      </c>
    </row>
  </sheetData>
  <mergeCells count="44">
    <mergeCell ref="F4:G4"/>
    <mergeCell ref="P4:Q4"/>
    <mergeCell ref="AX4:AY4"/>
    <mergeCell ref="BH4:BI4"/>
    <mergeCell ref="C4:C5"/>
    <mergeCell ref="BJ4:BK4"/>
    <mergeCell ref="BP4:BP5"/>
    <mergeCell ref="H4:I4"/>
    <mergeCell ref="BQ4:BQ5"/>
    <mergeCell ref="R4:S4"/>
    <mergeCell ref="A2:C2"/>
    <mergeCell ref="AB4:AC4"/>
    <mergeCell ref="T4:U4"/>
    <mergeCell ref="AF4:AG4"/>
    <mergeCell ref="V4:W4"/>
    <mergeCell ref="AH4:AI4"/>
    <mergeCell ref="AN4:AO4"/>
    <mergeCell ref="BN4:BN5"/>
    <mergeCell ref="I2:L2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R4:BR5"/>
    <mergeCell ref="D4:E4"/>
    <mergeCell ref="N2:Q2"/>
    <mergeCell ref="D2:G2"/>
    <mergeCell ref="BO4:BO5"/>
    <mergeCell ref="X4:Y4"/>
    <mergeCell ref="AJ4:AK4"/>
    <mergeCell ref="Z4:AA4"/>
    <mergeCell ref="B4:B5"/>
    <mergeCell ref="AL4:AM4"/>
    <mergeCell ref="A1:BR1"/>
    <mergeCell ref="AD4:AE4"/>
    <mergeCell ref="AP4:AQ4"/>
    <mergeCell ref="N4:O4"/>
  </mergeCells>
  <conditionalFormatting sqref="D6:BM20">
    <cfRule type="expression" priority="1" dxfId="1" stopIfTrue="1">
      <formula>D6="+"</formula>
    </cfRule>
    <cfRule type="expression" priority="2" dxfId="2" stopIfTrue="1">
      <formula>D6="-"</formula>
    </cfRule>
    <cfRule type="expression" priority="3" dxfId="3" stopIfTrue="1">
      <formula>D6="x"</formula>
    </cfRule>
  </conditionalFormatting>
  <dataValidations count="2">
    <dataValidation sqref="D6:D20 F6:F20 H6:H20 J6:J20 L6:L20 N6:N20 P6:P20 R6:R20 T6:T20 V6:V20 X6:X20 Z6:Z20 AB6:AB20 AD6:AD20 AF6:AF20 AH6:AH20 AJ6:AJ20 AL6:AL20 AN6:AN20 AP6:AP20 AR6:AR20 AT6:AT20 AV6:AV20 AX6:AX20 AZ6:AZ20 BB6:BB20 BD6:BD20 BF6:BF20 BH6:BH20 BJ6:BJ20 BL6:BL20" showDropDown="0" showInputMessage="1" showErrorMessage="1" allowBlank="1" errorTitle="Geçersiz Durum" error="Lütfen + (Geldi), x (Yarım Gün) veya - (Gelmedi) girin." promptTitle="Durum" prompt="+ Geldi | x Yarım Gün | - Gelmedi" type="list">
      <formula1>"+,x,-"</formula1>
    </dataValidation>
    <dataValidation sqref="E6:E20 G6:G20 I6:I20 K6:K20 M6:M20 O6:O20 Q6:Q20 S6:S20 U6:U20 W6:W20 Y6:Y20 AA6:AA20 AC6:AC20 AE6:AE20 AG6:AG20 AI6:AI20 AK6:AK20 AM6:AM20 AO6:AO20 AQ6:AQ20 AS6:AS20 AU6:AU20 AW6:AW20 AY6:AY20 BA6:BA20 BC6:BC20 BE6:BE20 BG6:BG20 BI6:BI20 BK6:BK20 BM6:BM20" showDropDown="0" showInputMessage="0" showErrorMessage="1" allowBlank="1" errorTitle="Geçersiz Mesai" error="Mesai 0 ile 24 arasında bir sayı (saat) olmalıdır." type="decimal" operator="between">
      <formula1>0</formula1>
      <formula2>24</formula2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2026-10-01T07:03:35Z</dcterms:created>
  <dcterms:modified xsi:type="dcterms:W3CDTF">2026-10-01T07:03:35Z</dcterms:modified>
</cp:coreProperties>
</file>